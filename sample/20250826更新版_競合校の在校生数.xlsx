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hibakzk\Desktop\"/>
    </mc:Choice>
  </mc:AlternateContent>
  <xr:revisionPtr revIDLastSave="0" documentId="8_{91927C24-CB30-43BB-9344-6893EA03E248}" xr6:coauthVersionLast="47" xr6:coauthVersionMax="47" xr10:uidLastSave="{00000000-0000-0000-0000-000000000000}"/>
  <bookViews>
    <workbookView xWindow="510" yWindow="0" windowWidth="27750" windowHeight="15345" xr2:uid="{70F49734-002F-48EB-8510-C1A9EC3681E0}"/>
  </bookViews>
  <sheets>
    <sheet name="学校単位での比較" sheetId="23" r:id="rId1"/>
    <sheet name="滋慶" sheetId="18" r:id="rId2"/>
    <sheet name="放送・演劇スタッフ" sheetId="15" r:id="rId3"/>
    <sheet name="声優演劇・ミュージックアーティスト・ダンス" sheetId="16" r:id="rId4"/>
    <sheet name="マンガ・アニメ" sheetId="7" r:id="rId5"/>
    <sheet name="ゲーム" sheetId="6" r:id="rId6"/>
    <sheet name="CG映像" sheetId="11" r:id="rId7"/>
    <sheet name="デザイン" sheetId="10" r:id="rId8"/>
    <sheet name="コンイベ・音響芸術" sheetId="17" r:id="rId9"/>
    <sheet name="IT" sheetId="8" r:id="rId10"/>
    <sheet name="ホテル・観光・情報ビジネス" sheetId="19" r:id="rId11"/>
    <sheet name="建築" sheetId="9" r:id="rId12"/>
    <sheet name="自動車" sheetId="13" r:id="rId13"/>
    <sheet name="テクその他" sheetId="12" r:id="rId14"/>
    <sheet name="スポーツ" sheetId="20" r:id="rId15"/>
    <sheet name="鍼灸・柔整" sheetId="21"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9" i="23" l="1"/>
  <c r="AE9" i="23"/>
  <c r="Q35" i="19"/>
  <c r="Q43" i="8"/>
  <c r="P43" i="8"/>
  <c r="AF29" i="23"/>
  <c r="Q39" i="21"/>
  <c r="Q37" i="21"/>
  <c r="Q43" i="20"/>
  <c r="Q41" i="20"/>
  <c r="Q39" i="20"/>
  <c r="Q37" i="20"/>
  <c r="Q15" i="19"/>
  <c r="Q17" i="19"/>
  <c r="Q61" i="16" l="1"/>
  <c r="Q38" i="6"/>
  <c r="Q36" i="6"/>
  <c r="Q24" i="6"/>
  <c r="P11" i="23" l="1"/>
  <c r="O11" i="23"/>
  <c r="Q14" i="6" l="1"/>
  <c r="Q51" i="16"/>
  <c r="Q25" i="8"/>
  <c r="Q11" i="11"/>
  <c r="Q13" i="11"/>
  <c r="Q16" i="6"/>
  <c r="Q49" i="16"/>
  <c r="Q23" i="8"/>
  <c r="Q11" i="10"/>
  <c r="Q15" i="7"/>
  <c r="O25" i="23" l="1"/>
  <c r="O21" i="23"/>
  <c r="O23" i="23"/>
  <c r="P23" i="23"/>
  <c r="Q57" i="16"/>
  <c r="O57" i="16"/>
  <c r="Q59" i="16"/>
  <c r="Q37" i="7"/>
  <c r="O37" i="7"/>
  <c r="O35" i="7"/>
  <c r="Q35" i="7"/>
  <c r="Q33" i="7"/>
  <c r="O33" i="7"/>
  <c r="AF47" i="23"/>
  <c r="AE47" i="23"/>
  <c r="AD47" i="23"/>
  <c r="AC47" i="23"/>
  <c r="AB47" i="23"/>
  <c r="AA47" i="23"/>
  <c r="Z47" i="23"/>
  <c r="Y47" i="23"/>
  <c r="X47" i="23"/>
  <c r="Q67" i="10"/>
  <c r="P41" i="23"/>
  <c r="R53" i="18"/>
  <c r="R51" i="18"/>
  <c r="R49" i="18"/>
  <c r="R47" i="18"/>
  <c r="AF43" i="23"/>
  <c r="AE43" i="23"/>
  <c r="AD43" i="23"/>
  <c r="AC43" i="23"/>
  <c r="AB43" i="23"/>
  <c r="AA43" i="23"/>
  <c r="Z43" i="23"/>
  <c r="Y43" i="23"/>
  <c r="X43" i="23"/>
  <c r="AF41" i="23"/>
  <c r="AE41" i="23"/>
  <c r="AD41" i="23"/>
  <c r="AC41" i="23"/>
  <c r="AB41" i="23"/>
  <c r="AA41" i="23"/>
  <c r="Z41" i="23"/>
  <c r="Y41" i="23"/>
  <c r="X41" i="23"/>
  <c r="AF39" i="23"/>
  <c r="AE39" i="23"/>
  <c r="AD39" i="23"/>
  <c r="AC39" i="23"/>
  <c r="AB39" i="23"/>
  <c r="AA39" i="23"/>
  <c r="Z39" i="23"/>
  <c r="Y39" i="23"/>
  <c r="X39" i="23"/>
  <c r="P19" i="23"/>
  <c r="O19" i="23"/>
  <c r="Q25" i="11"/>
  <c r="P25" i="11"/>
  <c r="Q65" i="10"/>
  <c r="P65" i="10"/>
  <c r="O65" i="10"/>
  <c r="N65" i="10"/>
  <c r="M65" i="10"/>
  <c r="L65" i="10"/>
  <c r="K65" i="10"/>
  <c r="J65" i="10"/>
  <c r="I65" i="10"/>
  <c r="H65" i="10"/>
  <c r="G65" i="10"/>
  <c r="F65" i="10"/>
  <c r="E65" i="10"/>
  <c r="Q26" i="6" l="1"/>
  <c r="M33" i="23"/>
  <c r="P33" i="23"/>
  <c r="O33" i="23"/>
  <c r="N33" i="23"/>
  <c r="J33" i="23"/>
  <c r="I33" i="23"/>
  <c r="H33" i="23"/>
  <c r="X21" i="23"/>
  <c r="W21" i="23"/>
  <c r="V21" i="23"/>
  <c r="U21" i="23"/>
  <c r="T21" i="23"/>
  <c r="AF21" i="23"/>
  <c r="AE21" i="23"/>
  <c r="AD21" i="23"/>
  <c r="AC21" i="23"/>
  <c r="AB21" i="23"/>
  <c r="AA21" i="23"/>
  <c r="Z21" i="23"/>
  <c r="Y21" i="23"/>
  <c r="AC37" i="23"/>
  <c r="AF45" i="23"/>
  <c r="AE45" i="23"/>
  <c r="AD45" i="23"/>
  <c r="AC45" i="23"/>
  <c r="AB45" i="23"/>
  <c r="AA45" i="23"/>
  <c r="Z45" i="23"/>
  <c r="Y45" i="23"/>
  <c r="X45" i="23"/>
  <c r="P39" i="23"/>
  <c r="P45" i="23"/>
  <c r="P37" i="23"/>
  <c r="R73" i="18"/>
  <c r="R71" i="18"/>
  <c r="R69" i="18"/>
  <c r="P47" i="23"/>
  <c r="O47" i="23"/>
  <c r="N47" i="23"/>
  <c r="M47" i="23"/>
  <c r="L47" i="23"/>
  <c r="K47" i="23"/>
  <c r="J47" i="23"/>
  <c r="I47" i="23"/>
  <c r="H47" i="23"/>
  <c r="G47" i="23"/>
  <c r="F47" i="23"/>
  <c r="AF37" i="23"/>
  <c r="AE37" i="23"/>
  <c r="AD37" i="23"/>
  <c r="Z37" i="23"/>
  <c r="Y37" i="23"/>
  <c r="X37" i="23"/>
  <c r="AF35" i="23"/>
  <c r="AE35" i="23"/>
  <c r="AD35" i="23"/>
  <c r="AC35" i="23"/>
  <c r="AB35" i="23"/>
  <c r="AA35" i="23"/>
  <c r="Z35" i="23"/>
  <c r="Y35" i="23"/>
  <c r="X35" i="23"/>
  <c r="AF33" i="23"/>
  <c r="AE33" i="23"/>
  <c r="AD33" i="23"/>
  <c r="AC33" i="23"/>
  <c r="AB33" i="23"/>
  <c r="AA33" i="23"/>
  <c r="Z33" i="23"/>
  <c r="Y33" i="23"/>
  <c r="X33" i="23"/>
  <c r="AF31" i="23"/>
  <c r="AE31" i="23"/>
  <c r="AD31" i="23"/>
  <c r="AC31" i="23"/>
  <c r="AB31" i="23"/>
  <c r="AA31" i="23"/>
  <c r="Z31" i="23"/>
  <c r="Y31" i="23"/>
  <c r="X31" i="23"/>
  <c r="AE29" i="23"/>
  <c r="AD29" i="23"/>
  <c r="AC29" i="23"/>
  <c r="AB29" i="23"/>
  <c r="AA29" i="23"/>
  <c r="Z29" i="23"/>
  <c r="Y29" i="23"/>
  <c r="X29" i="23"/>
  <c r="W29" i="23"/>
  <c r="V29" i="23"/>
  <c r="U29" i="23"/>
  <c r="T29" i="23"/>
  <c r="AF27" i="23"/>
  <c r="AE27" i="23"/>
  <c r="AD27" i="23"/>
  <c r="AC27" i="23"/>
  <c r="AB27" i="23"/>
  <c r="AA27" i="23"/>
  <c r="Z27" i="23"/>
  <c r="Y27" i="23"/>
  <c r="X27" i="23"/>
  <c r="AF25" i="23"/>
  <c r="AE25" i="23"/>
  <c r="AD25" i="23"/>
  <c r="AC25" i="23"/>
  <c r="AB25" i="23"/>
  <c r="AA25" i="23"/>
  <c r="Z25" i="23"/>
  <c r="Y25" i="23"/>
  <c r="X25" i="23"/>
  <c r="AF23" i="23"/>
  <c r="AE23" i="23"/>
  <c r="AD23" i="23"/>
  <c r="AC23" i="23"/>
  <c r="AB23" i="23"/>
  <c r="AA23" i="23"/>
  <c r="Z23" i="23"/>
  <c r="Y23" i="23"/>
  <c r="X23" i="23"/>
  <c r="AF19" i="23"/>
  <c r="AE19" i="23"/>
  <c r="AD19" i="23"/>
  <c r="AC19" i="23"/>
  <c r="AB19" i="23"/>
  <c r="AA19" i="23"/>
  <c r="Z19" i="23"/>
  <c r="Y19" i="23"/>
  <c r="X19" i="23"/>
  <c r="AF17" i="23"/>
  <c r="AE17" i="23"/>
  <c r="AD17" i="23"/>
  <c r="AC17" i="23"/>
  <c r="AB17" i="23"/>
  <c r="AA17" i="23"/>
  <c r="Z17" i="23"/>
  <c r="Y17" i="23"/>
  <c r="X17" i="23"/>
  <c r="R67" i="18"/>
  <c r="R65" i="18"/>
  <c r="Q73" i="18"/>
  <c r="P73" i="18"/>
  <c r="O73" i="18"/>
  <c r="N73" i="18"/>
  <c r="M73" i="18"/>
  <c r="L73" i="18"/>
  <c r="K73" i="18"/>
  <c r="J73" i="18"/>
  <c r="I73" i="18"/>
  <c r="H73" i="18"/>
  <c r="Q71" i="18"/>
  <c r="P71" i="18"/>
  <c r="O71" i="18"/>
  <c r="N71" i="18"/>
  <c r="M71" i="18"/>
  <c r="L71" i="18"/>
  <c r="K71" i="18"/>
  <c r="J71" i="18"/>
  <c r="I71" i="18"/>
  <c r="H71" i="18"/>
  <c r="Q69" i="18"/>
  <c r="P69" i="18"/>
  <c r="O69" i="18"/>
  <c r="N69" i="18"/>
  <c r="M69" i="18"/>
  <c r="L69" i="18"/>
  <c r="K69" i="18"/>
  <c r="J69" i="18"/>
  <c r="I69" i="18"/>
  <c r="H69" i="18"/>
  <c r="Q67" i="18"/>
  <c r="P67" i="18"/>
  <c r="O67" i="18"/>
  <c r="N67" i="18"/>
  <c r="M67" i="18"/>
  <c r="Q65" i="18"/>
  <c r="P65" i="18"/>
  <c r="O65" i="18"/>
  <c r="N65" i="18"/>
  <c r="M65" i="18"/>
  <c r="L65" i="18"/>
  <c r="K65" i="18"/>
  <c r="J65" i="18"/>
  <c r="I65" i="18"/>
  <c r="H65" i="18"/>
  <c r="P25" i="23"/>
  <c r="G25" i="23"/>
  <c r="N23" i="23"/>
  <c r="M23" i="23"/>
  <c r="L23" i="23"/>
  <c r="K23" i="23"/>
  <c r="J23" i="23"/>
  <c r="I23" i="23"/>
  <c r="H23" i="23"/>
  <c r="G23" i="23"/>
  <c r="F23" i="23"/>
  <c r="E23" i="23"/>
  <c r="D23" i="23"/>
  <c r="G45" i="23"/>
  <c r="O45" i="23"/>
  <c r="N45" i="23"/>
  <c r="M45" i="23"/>
  <c r="L45" i="23"/>
  <c r="K45" i="23"/>
  <c r="J45" i="23"/>
  <c r="I45" i="23"/>
  <c r="H45" i="23"/>
  <c r="D45" i="23"/>
  <c r="I63" i="18"/>
  <c r="R57" i="18"/>
  <c r="Q57" i="18"/>
  <c r="P57" i="18"/>
  <c r="R55" i="18"/>
  <c r="Q55" i="18"/>
  <c r="P55" i="18"/>
  <c r="O55" i="18"/>
  <c r="N55" i="18"/>
  <c r="M55" i="18"/>
  <c r="L55" i="18"/>
  <c r="P61" i="18"/>
  <c r="P63" i="18"/>
  <c r="O63" i="18"/>
  <c r="N63" i="18"/>
  <c r="M63" i="18"/>
  <c r="L63" i="18"/>
  <c r="K63" i="18"/>
  <c r="J63" i="18"/>
  <c r="F63" i="18"/>
  <c r="R61" i="18"/>
  <c r="Q61" i="18"/>
  <c r="O61" i="18"/>
  <c r="N61" i="18"/>
  <c r="M61" i="18"/>
  <c r="L61" i="18"/>
  <c r="K61" i="18"/>
  <c r="J61" i="18"/>
  <c r="R59" i="18"/>
  <c r="Q59" i="18"/>
  <c r="P59" i="18"/>
  <c r="Q49" i="18"/>
  <c r="P49" i="18"/>
  <c r="O49" i="18"/>
  <c r="N49" i="18"/>
  <c r="M49" i="18"/>
  <c r="L49" i="18"/>
  <c r="K49" i="18"/>
  <c r="J49" i="18"/>
  <c r="I49" i="18"/>
  <c r="H49" i="18"/>
  <c r="G49" i="18"/>
  <c r="F49" i="18"/>
  <c r="Q47" i="18"/>
  <c r="P47" i="18"/>
  <c r="O47" i="18"/>
  <c r="N47" i="18"/>
  <c r="M47" i="18"/>
  <c r="L47" i="18"/>
  <c r="K47" i="18"/>
  <c r="J47" i="18"/>
  <c r="I47" i="18"/>
  <c r="H47" i="18"/>
  <c r="F51" i="18"/>
  <c r="Q53" i="18"/>
  <c r="P53" i="18"/>
  <c r="O53" i="18"/>
  <c r="N53" i="18"/>
  <c r="M53" i="18"/>
  <c r="L53" i="18"/>
  <c r="K53" i="18"/>
  <c r="J53" i="18"/>
  <c r="I53" i="18"/>
  <c r="H53" i="18"/>
  <c r="G53" i="18"/>
  <c r="F53" i="18"/>
  <c r="Q51" i="18"/>
  <c r="P51" i="18"/>
  <c r="O51" i="18"/>
  <c r="N51" i="18"/>
  <c r="M51" i="18"/>
  <c r="L51" i="18"/>
  <c r="K51" i="18"/>
  <c r="J51" i="18"/>
  <c r="I51" i="18"/>
  <c r="H51" i="18"/>
  <c r="G51" i="18"/>
  <c r="R33" i="18"/>
  <c r="Q33" i="18"/>
  <c r="P33" i="18"/>
  <c r="O33" i="18"/>
  <c r="N33" i="18"/>
  <c r="M33" i="18"/>
  <c r="L33" i="18"/>
  <c r="K33" i="18"/>
  <c r="J33" i="18"/>
  <c r="I33" i="18"/>
  <c r="H33" i="18"/>
  <c r="G33" i="18"/>
  <c r="R45" i="18"/>
  <c r="Q45" i="18"/>
  <c r="P45" i="18"/>
  <c r="O45" i="18"/>
  <c r="N45" i="18"/>
  <c r="M45" i="18"/>
  <c r="L45" i="18"/>
  <c r="K45" i="18"/>
  <c r="J45" i="18"/>
  <c r="I45" i="18"/>
  <c r="H45" i="18"/>
  <c r="G45" i="18"/>
  <c r="F45" i="18"/>
  <c r="R43" i="18"/>
  <c r="Q43" i="18"/>
  <c r="P43" i="18"/>
  <c r="O43" i="18"/>
  <c r="N43" i="18"/>
  <c r="M43" i="18"/>
  <c r="L43" i="18"/>
  <c r="K43" i="18"/>
  <c r="J43" i="18"/>
  <c r="I43" i="18"/>
  <c r="H43" i="18"/>
  <c r="G43" i="18"/>
  <c r="F43" i="18"/>
  <c r="R41" i="18"/>
  <c r="Q41" i="18"/>
  <c r="P41" i="18"/>
  <c r="O41" i="18"/>
  <c r="N41" i="18"/>
  <c r="M41" i="18"/>
  <c r="L41" i="18"/>
  <c r="K41" i="18"/>
  <c r="J41" i="18"/>
  <c r="I41" i="18"/>
  <c r="H41" i="18"/>
  <c r="G41" i="18"/>
  <c r="F41" i="18"/>
  <c r="R39" i="18"/>
  <c r="Q39" i="18"/>
  <c r="P39" i="18"/>
  <c r="O39" i="18"/>
  <c r="N39" i="18"/>
  <c r="M39" i="18"/>
  <c r="L39" i="18"/>
  <c r="K39" i="18"/>
  <c r="J39" i="18"/>
  <c r="I39" i="18"/>
  <c r="H39" i="18"/>
  <c r="G39" i="18"/>
  <c r="F39" i="18"/>
  <c r="Q37" i="18"/>
  <c r="P37" i="18"/>
  <c r="O37" i="18"/>
  <c r="O35" i="18"/>
  <c r="Q35" i="18"/>
  <c r="P35" i="18"/>
  <c r="R37" i="18"/>
  <c r="N37" i="18"/>
  <c r="M37" i="18"/>
  <c r="L37" i="18"/>
  <c r="K37" i="18"/>
  <c r="R35" i="18"/>
  <c r="N35" i="18"/>
  <c r="M35" i="18"/>
  <c r="L35" i="18"/>
  <c r="K35" i="18"/>
  <c r="J35" i="18"/>
  <c r="I35" i="18"/>
  <c r="H35" i="18"/>
  <c r="G35" i="18"/>
  <c r="F35" i="18"/>
  <c r="Q31" i="18"/>
  <c r="Q29" i="18"/>
  <c r="Q27" i="18"/>
  <c r="Q25" i="18"/>
  <c r="Q23" i="18"/>
  <c r="Q21" i="18"/>
  <c r="Q19" i="18"/>
  <c r="I17" i="18"/>
  <c r="I15" i="18"/>
  <c r="I13" i="18"/>
  <c r="I11" i="18"/>
  <c r="I7" i="18"/>
  <c r="M31" i="18"/>
  <c r="K31" i="18"/>
  <c r="I31" i="18"/>
  <c r="G31" i="18"/>
  <c r="G29" i="18"/>
  <c r="I29" i="18"/>
  <c r="K29" i="18"/>
  <c r="M29" i="18"/>
  <c r="M27" i="18"/>
  <c r="K27" i="18"/>
  <c r="I27" i="18"/>
  <c r="G27" i="18"/>
  <c r="G25" i="18"/>
  <c r="I25" i="18"/>
  <c r="K25" i="18"/>
  <c r="M25" i="18"/>
  <c r="M23" i="18"/>
  <c r="K23" i="18"/>
  <c r="I23" i="18"/>
  <c r="G23" i="18"/>
  <c r="G21" i="18"/>
  <c r="I21" i="18"/>
  <c r="K21" i="18"/>
  <c r="M21" i="18"/>
  <c r="M19" i="18"/>
  <c r="K19" i="18"/>
  <c r="I19" i="18"/>
  <c r="G19" i="18"/>
  <c r="K17" i="18"/>
  <c r="M17" i="18"/>
  <c r="O17" i="18"/>
  <c r="Q17" i="18"/>
  <c r="Q15" i="18"/>
  <c r="O15" i="18"/>
  <c r="M15" i="18"/>
  <c r="K15" i="18"/>
  <c r="K13" i="18"/>
  <c r="M13" i="18"/>
  <c r="O13" i="18"/>
  <c r="Q13" i="18"/>
  <c r="Q11" i="18"/>
  <c r="O11" i="18"/>
  <c r="M11" i="18"/>
  <c r="K11" i="18"/>
  <c r="K9" i="18"/>
  <c r="M9" i="18"/>
  <c r="O9" i="18"/>
  <c r="Q9" i="18"/>
  <c r="Q7" i="18"/>
  <c r="O7" i="18"/>
  <c r="M7" i="18"/>
  <c r="K7" i="18"/>
  <c r="P39" i="21"/>
  <c r="N39" i="21"/>
  <c r="L39" i="21"/>
  <c r="J39" i="21"/>
  <c r="H39" i="21"/>
  <c r="F39" i="21"/>
  <c r="F37" i="21"/>
  <c r="H37" i="21"/>
  <c r="J37" i="21"/>
  <c r="L37" i="21"/>
  <c r="N37" i="21"/>
  <c r="P37" i="21"/>
  <c r="P35" i="21"/>
  <c r="N35" i="21"/>
  <c r="L35" i="21"/>
  <c r="J35" i="21"/>
  <c r="J33" i="21"/>
  <c r="L33" i="21"/>
  <c r="N33" i="21"/>
  <c r="P33" i="21"/>
  <c r="P31" i="21"/>
  <c r="N31" i="21"/>
  <c r="L31" i="21"/>
  <c r="J31" i="21"/>
  <c r="J29" i="21"/>
  <c r="L29" i="21"/>
  <c r="N29" i="21"/>
  <c r="P29" i="21"/>
  <c r="P27" i="21"/>
  <c r="N27" i="21"/>
  <c r="L27" i="21"/>
  <c r="J25" i="21"/>
  <c r="L25" i="21"/>
  <c r="N25" i="21"/>
  <c r="P25" i="21"/>
  <c r="P23" i="21"/>
  <c r="N23" i="21"/>
  <c r="L23" i="21"/>
  <c r="J21" i="21"/>
  <c r="L21" i="21"/>
  <c r="N21" i="21"/>
  <c r="P21" i="21"/>
  <c r="P19" i="21"/>
  <c r="N19" i="21"/>
  <c r="L19" i="21"/>
  <c r="J19" i="21"/>
  <c r="J17" i="21"/>
  <c r="L17" i="21"/>
  <c r="N17" i="21"/>
  <c r="P17" i="21"/>
  <c r="P15" i="21"/>
  <c r="N15" i="21"/>
  <c r="L15" i="21"/>
  <c r="J15" i="21"/>
  <c r="J13" i="21"/>
  <c r="L13" i="21"/>
  <c r="N13" i="21"/>
  <c r="P13" i="21"/>
  <c r="P11" i="21"/>
  <c r="N11" i="21"/>
  <c r="L11" i="21"/>
  <c r="J11" i="21"/>
  <c r="F9" i="21"/>
  <c r="H9" i="21"/>
  <c r="J9" i="21"/>
  <c r="L9" i="21"/>
  <c r="N9" i="21"/>
  <c r="P9" i="21"/>
  <c r="P7" i="21"/>
  <c r="N7" i="21"/>
  <c r="L7" i="21"/>
  <c r="J7" i="21"/>
  <c r="H7" i="21"/>
  <c r="F7" i="21"/>
  <c r="J51" i="20"/>
  <c r="L51" i="20"/>
  <c r="N51" i="20"/>
  <c r="P51" i="20"/>
  <c r="P49" i="20"/>
  <c r="N49" i="20"/>
  <c r="L49" i="20"/>
  <c r="J49" i="20"/>
  <c r="J47" i="20"/>
  <c r="L47" i="20"/>
  <c r="N47" i="20"/>
  <c r="P47" i="20"/>
  <c r="P45" i="20"/>
  <c r="N45" i="20"/>
  <c r="L45" i="20"/>
  <c r="J45" i="20"/>
  <c r="H41" i="20"/>
  <c r="J41" i="20"/>
  <c r="L41" i="20"/>
  <c r="N41" i="20"/>
  <c r="P41" i="20"/>
  <c r="P39" i="20"/>
  <c r="N39" i="20"/>
  <c r="L39" i="20"/>
  <c r="J39" i="20"/>
  <c r="H39" i="20"/>
  <c r="F41" i="20"/>
  <c r="F39" i="20"/>
  <c r="F37" i="20"/>
  <c r="H37" i="20"/>
  <c r="J37" i="20"/>
  <c r="L37" i="20"/>
  <c r="N37" i="20"/>
  <c r="P37" i="20"/>
  <c r="P33" i="20"/>
  <c r="N33" i="20"/>
  <c r="L33" i="20"/>
  <c r="J33" i="20"/>
  <c r="H33" i="20"/>
  <c r="F33" i="20"/>
  <c r="H31" i="20"/>
  <c r="J31" i="20"/>
  <c r="L31" i="20"/>
  <c r="N31" i="20"/>
  <c r="P31" i="20"/>
  <c r="P29" i="20"/>
  <c r="N29" i="20"/>
  <c r="L29" i="20"/>
  <c r="J29" i="20"/>
  <c r="H29" i="20"/>
  <c r="F29" i="20"/>
  <c r="F27" i="20"/>
  <c r="H27" i="20"/>
  <c r="J27" i="20"/>
  <c r="L27" i="20"/>
  <c r="N27" i="20"/>
  <c r="P27" i="20"/>
  <c r="P25" i="20"/>
  <c r="N25" i="20"/>
  <c r="L25" i="20"/>
  <c r="J25" i="20"/>
  <c r="J23" i="20"/>
  <c r="L23" i="20"/>
  <c r="N23" i="20"/>
  <c r="P23" i="20"/>
  <c r="P21" i="20"/>
  <c r="N21" i="20"/>
  <c r="L21" i="20"/>
  <c r="J21" i="20"/>
  <c r="P19" i="20"/>
  <c r="N19" i="20"/>
  <c r="J17" i="20"/>
  <c r="L17" i="20"/>
  <c r="N17" i="20"/>
  <c r="P17" i="20"/>
  <c r="P15" i="20"/>
  <c r="N15" i="20"/>
  <c r="L15" i="20"/>
  <c r="J15" i="20"/>
  <c r="H13" i="20"/>
  <c r="J13" i="20"/>
  <c r="L13" i="20"/>
  <c r="N13" i="20"/>
  <c r="P13" i="20"/>
  <c r="P11" i="20"/>
  <c r="N11" i="20"/>
  <c r="L11" i="20"/>
  <c r="J11" i="20"/>
  <c r="H11" i="20"/>
  <c r="H9" i="20"/>
  <c r="J9" i="20"/>
  <c r="L9" i="20"/>
  <c r="N9" i="20"/>
  <c r="P9" i="20"/>
  <c r="P7" i="20"/>
  <c r="N7" i="20"/>
  <c r="L7" i="20"/>
  <c r="J7" i="20"/>
  <c r="H7" i="20"/>
  <c r="F13" i="20"/>
  <c r="F11" i="20"/>
  <c r="F9" i="20"/>
  <c r="F7" i="20"/>
  <c r="P45" i="12"/>
  <c r="N45" i="12"/>
  <c r="L45" i="12"/>
  <c r="J45" i="12"/>
  <c r="J43" i="12"/>
  <c r="L43" i="12"/>
  <c r="N43" i="12"/>
  <c r="P43" i="12"/>
  <c r="P41" i="12"/>
  <c r="N41" i="12"/>
  <c r="L41" i="12"/>
  <c r="J41" i="12"/>
  <c r="J39" i="12"/>
  <c r="L39" i="12"/>
  <c r="N39" i="12"/>
  <c r="P39" i="12"/>
  <c r="P37" i="12"/>
  <c r="N37" i="12"/>
  <c r="L37" i="12"/>
  <c r="J37" i="12"/>
  <c r="J35" i="12"/>
  <c r="L35" i="12"/>
  <c r="N35" i="12"/>
  <c r="P35" i="12"/>
  <c r="L33" i="12"/>
  <c r="J33" i="12"/>
  <c r="J31" i="12"/>
  <c r="L31" i="12"/>
  <c r="N31" i="12"/>
  <c r="P31" i="12"/>
  <c r="P29" i="12"/>
  <c r="N29" i="12"/>
  <c r="L29" i="12"/>
  <c r="J29" i="12"/>
  <c r="J27" i="12"/>
  <c r="L27" i="12"/>
  <c r="N27" i="12"/>
  <c r="P27" i="12"/>
  <c r="P25" i="12"/>
  <c r="N25" i="12"/>
  <c r="L25" i="12"/>
  <c r="J25" i="12"/>
  <c r="J23" i="12"/>
  <c r="L23" i="12"/>
  <c r="N23" i="12"/>
  <c r="P23" i="12"/>
  <c r="N21" i="12"/>
  <c r="L21" i="12"/>
  <c r="J21" i="12"/>
  <c r="F19" i="12"/>
  <c r="H19" i="12"/>
  <c r="J19" i="12"/>
  <c r="L19" i="12"/>
  <c r="N19" i="12"/>
  <c r="P19" i="12"/>
  <c r="P17" i="12"/>
  <c r="N17" i="12"/>
  <c r="L17" i="12"/>
  <c r="J17" i="12"/>
  <c r="H17" i="12"/>
  <c r="F17" i="12"/>
  <c r="F15" i="12"/>
  <c r="H15" i="12"/>
  <c r="J15" i="12"/>
  <c r="L15" i="12"/>
  <c r="N15" i="12"/>
  <c r="P15" i="12"/>
  <c r="P13" i="12"/>
  <c r="N13" i="12"/>
  <c r="L13" i="12"/>
  <c r="J13" i="12"/>
  <c r="H13" i="12"/>
  <c r="F13" i="12"/>
  <c r="F11" i="12"/>
  <c r="H11" i="12"/>
  <c r="J11" i="12"/>
  <c r="L11" i="12"/>
  <c r="N11" i="12"/>
  <c r="P11" i="12"/>
  <c r="P9" i="12"/>
  <c r="N9" i="12"/>
  <c r="L9" i="12"/>
  <c r="J9" i="12"/>
  <c r="H9" i="12"/>
  <c r="F9" i="12"/>
  <c r="P7" i="12"/>
  <c r="N7" i="12"/>
  <c r="L7" i="12"/>
  <c r="J7" i="12"/>
  <c r="H7" i="12"/>
  <c r="F7" i="12"/>
  <c r="L31" i="13"/>
  <c r="L29" i="13"/>
  <c r="J39" i="13"/>
  <c r="J37" i="13"/>
  <c r="P35" i="13"/>
  <c r="N35" i="13"/>
  <c r="L35" i="13"/>
  <c r="J35" i="13"/>
  <c r="J33" i="13"/>
  <c r="L33" i="13"/>
  <c r="N33" i="13"/>
  <c r="P33" i="13"/>
  <c r="N31" i="13"/>
  <c r="P31" i="13"/>
  <c r="P29" i="13"/>
  <c r="N29" i="13"/>
  <c r="P27" i="13"/>
  <c r="N27" i="13"/>
  <c r="L27" i="13"/>
  <c r="J27" i="13"/>
  <c r="J25" i="13"/>
  <c r="L25" i="13"/>
  <c r="N25" i="13"/>
  <c r="P25" i="13"/>
  <c r="P23" i="13"/>
  <c r="N23" i="13"/>
  <c r="L23" i="13"/>
  <c r="J23" i="13"/>
  <c r="J21" i="13"/>
  <c r="L21" i="13"/>
  <c r="N21" i="13"/>
  <c r="P21" i="13"/>
  <c r="P19" i="13"/>
  <c r="N19" i="13"/>
  <c r="L19" i="13"/>
  <c r="J19" i="13"/>
  <c r="J17" i="13"/>
  <c r="L17" i="13"/>
  <c r="N17" i="13"/>
  <c r="P17" i="13"/>
  <c r="P15" i="13"/>
  <c r="N15" i="13"/>
  <c r="L15" i="13"/>
  <c r="J15" i="13"/>
  <c r="J13" i="13"/>
  <c r="L13" i="13"/>
  <c r="N13" i="13"/>
  <c r="P13" i="13"/>
  <c r="P11" i="13"/>
  <c r="N11" i="13"/>
  <c r="L11" i="13"/>
  <c r="J11" i="13"/>
  <c r="H9" i="13"/>
  <c r="J9" i="13"/>
  <c r="L9" i="13"/>
  <c r="N9" i="13"/>
  <c r="P9" i="13"/>
  <c r="P7" i="13"/>
  <c r="N7" i="13"/>
  <c r="L7" i="13"/>
  <c r="J7" i="13"/>
  <c r="H7" i="13"/>
  <c r="F9" i="13"/>
  <c r="F7" i="13"/>
  <c r="L49" i="9"/>
  <c r="J53" i="9"/>
  <c r="L53" i="9"/>
  <c r="N53" i="9"/>
  <c r="P53" i="9"/>
  <c r="P51" i="9"/>
  <c r="P49" i="9"/>
  <c r="N49" i="9"/>
  <c r="H49" i="9"/>
  <c r="J47" i="9"/>
  <c r="L47" i="9"/>
  <c r="J45" i="9"/>
  <c r="L45" i="9"/>
  <c r="N45" i="9"/>
  <c r="P45" i="9"/>
  <c r="J43" i="9"/>
  <c r="L43" i="9"/>
  <c r="N43" i="9"/>
  <c r="P43" i="9"/>
  <c r="J41" i="9"/>
  <c r="L41" i="9"/>
  <c r="N41" i="9"/>
  <c r="P41" i="9"/>
  <c r="F39" i="9"/>
  <c r="H39" i="9"/>
  <c r="J39" i="9"/>
  <c r="L39" i="9"/>
  <c r="N39" i="9"/>
  <c r="P39" i="9"/>
  <c r="J37" i="9"/>
  <c r="L37" i="9"/>
  <c r="N37" i="9"/>
  <c r="P37" i="9"/>
  <c r="P35" i="9"/>
  <c r="N35" i="9"/>
  <c r="L35" i="9"/>
  <c r="J35" i="9"/>
  <c r="J33" i="9"/>
  <c r="L33" i="9"/>
  <c r="N33" i="9"/>
  <c r="P33" i="9"/>
  <c r="P31" i="9"/>
  <c r="N31" i="9"/>
  <c r="L31" i="9"/>
  <c r="J31" i="9"/>
  <c r="J29" i="9"/>
  <c r="L29" i="9"/>
  <c r="N29" i="9"/>
  <c r="P29" i="9"/>
  <c r="P27" i="9"/>
  <c r="N27" i="9"/>
  <c r="L27" i="9"/>
  <c r="J27" i="9"/>
  <c r="J25" i="9"/>
  <c r="L25" i="9"/>
  <c r="N25" i="9"/>
  <c r="P25" i="9"/>
  <c r="P23" i="9"/>
  <c r="N23" i="9"/>
  <c r="L23" i="9"/>
  <c r="J23" i="9"/>
  <c r="J21" i="9"/>
  <c r="L21" i="9"/>
  <c r="N21" i="9"/>
  <c r="P21" i="9"/>
  <c r="P19" i="9"/>
  <c r="N19" i="9"/>
  <c r="L19" i="9"/>
  <c r="J19" i="9"/>
  <c r="J17" i="9"/>
  <c r="L17" i="9"/>
  <c r="N17" i="9"/>
  <c r="P17" i="9"/>
  <c r="P15" i="9"/>
  <c r="N15" i="9"/>
  <c r="J15" i="9"/>
  <c r="H13" i="9"/>
  <c r="J13" i="9"/>
  <c r="L13" i="9"/>
  <c r="N13" i="9"/>
  <c r="P13" i="9"/>
  <c r="P11" i="9"/>
  <c r="N11" i="9"/>
  <c r="L11" i="9"/>
  <c r="J11" i="9"/>
  <c r="H11" i="9"/>
  <c r="H9" i="9"/>
  <c r="J9" i="9"/>
  <c r="L9" i="9"/>
  <c r="N9" i="9"/>
  <c r="P9" i="9"/>
  <c r="P7" i="9"/>
  <c r="N7" i="9"/>
  <c r="L7" i="9"/>
  <c r="J7" i="9"/>
  <c r="H7" i="9"/>
  <c r="F13" i="9"/>
  <c r="F11" i="9"/>
  <c r="F9" i="9"/>
  <c r="F7" i="9"/>
  <c r="N21" i="19"/>
  <c r="N19" i="19"/>
  <c r="P43" i="19"/>
  <c r="P41" i="19"/>
  <c r="N43" i="19"/>
  <c r="N41" i="19"/>
  <c r="L43" i="19"/>
  <c r="L41" i="19"/>
  <c r="J43" i="19"/>
  <c r="J41" i="19"/>
  <c r="H43" i="19"/>
  <c r="H41" i="19"/>
  <c r="H39" i="19"/>
  <c r="J39" i="19"/>
  <c r="L39" i="19"/>
  <c r="N39" i="19"/>
  <c r="P39" i="19"/>
  <c r="P37" i="19"/>
  <c r="N37" i="19"/>
  <c r="L37" i="19"/>
  <c r="J37" i="19"/>
  <c r="F35" i="19"/>
  <c r="H35" i="19"/>
  <c r="J35" i="19"/>
  <c r="L35" i="19"/>
  <c r="N35" i="19"/>
  <c r="P35" i="19"/>
  <c r="J33" i="19"/>
  <c r="L33" i="19"/>
  <c r="N33" i="19"/>
  <c r="P33" i="19"/>
  <c r="P31" i="19"/>
  <c r="N31" i="19"/>
  <c r="L31" i="19"/>
  <c r="J31" i="19"/>
  <c r="H25" i="19"/>
  <c r="H23" i="19"/>
  <c r="J23" i="19"/>
  <c r="J25" i="19"/>
  <c r="J27" i="19"/>
  <c r="J29" i="19"/>
  <c r="L29" i="19"/>
  <c r="L27" i="19"/>
  <c r="L25" i="19"/>
  <c r="L23" i="19"/>
  <c r="N23" i="19"/>
  <c r="N25" i="19"/>
  <c r="N27" i="19"/>
  <c r="N29" i="19"/>
  <c r="P29" i="19"/>
  <c r="P27" i="19"/>
  <c r="P25" i="19"/>
  <c r="P23" i="19"/>
  <c r="P21" i="19"/>
  <c r="P19" i="19"/>
  <c r="J21" i="19"/>
  <c r="J19" i="19"/>
  <c r="L17" i="19"/>
  <c r="N17" i="19"/>
  <c r="P17" i="19"/>
  <c r="P15" i="19"/>
  <c r="N15" i="19"/>
  <c r="L15" i="19"/>
  <c r="J17" i="19"/>
  <c r="J15" i="19"/>
  <c r="H17" i="19"/>
  <c r="H15" i="19"/>
  <c r="J13" i="19"/>
  <c r="L13" i="19"/>
  <c r="N13" i="19"/>
  <c r="P13" i="19"/>
  <c r="P11" i="19"/>
  <c r="N11" i="19"/>
  <c r="L11" i="19"/>
  <c r="J11" i="19"/>
  <c r="L9" i="19"/>
  <c r="N9" i="19"/>
  <c r="P9" i="19"/>
  <c r="P7" i="19"/>
  <c r="N7" i="19"/>
  <c r="L7" i="19"/>
  <c r="J9" i="19"/>
  <c r="J7" i="19"/>
  <c r="H9" i="19"/>
  <c r="H7" i="19"/>
  <c r="F9" i="19"/>
  <c r="F7" i="19"/>
  <c r="P25" i="17"/>
  <c r="L33" i="17"/>
  <c r="N33" i="17"/>
  <c r="P33" i="17"/>
  <c r="P31" i="17"/>
  <c r="N31" i="17"/>
  <c r="L31" i="17"/>
  <c r="L29" i="17"/>
  <c r="N29" i="17"/>
  <c r="P29" i="17"/>
  <c r="P27" i="17"/>
  <c r="N27" i="17"/>
  <c r="L27" i="17"/>
  <c r="L25" i="17"/>
  <c r="P23" i="17"/>
  <c r="N23" i="17"/>
  <c r="L23" i="17"/>
  <c r="J23" i="17"/>
  <c r="H23" i="17"/>
  <c r="F21" i="17"/>
  <c r="H21" i="17"/>
  <c r="J21" i="17"/>
  <c r="L21" i="17"/>
  <c r="N21" i="17"/>
  <c r="P21" i="17"/>
  <c r="P19" i="17"/>
  <c r="N19" i="17"/>
  <c r="L19" i="17"/>
  <c r="J19" i="17"/>
  <c r="H19" i="17"/>
  <c r="F19" i="17"/>
  <c r="H17" i="17"/>
  <c r="J17" i="17"/>
  <c r="L17" i="17"/>
  <c r="N17" i="17"/>
  <c r="P17" i="17"/>
  <c r="P15" i="17"/>
  <c r="N15" i="17"/>
  <c r="L15" i="17"/>
  <c r="J15" i="17"/>
  <c r="H15" i="17"/>
  <c r="P13" i="17"/>
  <c r="P11" i="17"/>
  <c r="N13" i="17"/>
  <c r="N11" i="17"/>
  <c r="L13" i="17"/>
  <c r="L11" i="17"/>
  <c r="J13" i="17"/>
  <c r="J11" i="17"/>
  <c r="H13" i="17"/>
  <c r="H11" i="17"/>
  <c r="H9" i="17"/>
  <c r="J9" i="17"/>
  <c r="L9" i="17"/>
  <c r="N9" i="17"/>
  <c r="P9" i="17"/>
  <c r="P7" i="17"/>
  <c r="N7" i="17"/>
  <c r="L7" i="17"/>
  <c r="J7" i="17"/>
  <c r="H7" i="17"/>
  <c r="F13" i="17"/>
  <c r="F11" i="17"/>
  <c r="F9" i="17"/>
  <c r="F7" i="17"/>
  <c r="N61" i="10"/>
  <c r="H47" i="10"/>
  <c r="H45" i="10"/>
  <c r="H43" i="10"/>
  <c r="H41" i="10"/>
  <c r="L47" i="10"/>
  <c r="L45" i="10"/>
  <c r="L43" i="10"/>
  <c r="L41" i="10"/>
  <c r="J73" i="10"/>
  <c r="J71" i="10"/>
  <c r="L73" i="10"/>
  <c r="L71" i="10"/>
  <c r="N73" i="10"/>
  <c r="N71" i="10"/>
  <c r="P73" i="10"/>
  <c r="P71" i="10"/>
  <c r="P69" i="10"/>
  <c r="N69" i="10"/>
  <c r="L69" i="10"/>
  <c r="J69" i="10"/>
  <c r="F67" i="10"/>
  <c r="H67" i="10"/>
  <c r="J67" i="10"/>
  <c r="L67" i="10"/>
  <c r="N67" i="10"/>
  <c r="P67" i="10"/>
  <c r="J63" i="10"/>
  <c r="L63" i="10"/>
  <c r="N63" i="10"/>
  <c r="P63" i="10"/>
  <c r="P61" i="10"/>
  <c r="J61" i="10"/>
  <c r="J59" i="10"/>
  <c r="L59" i="10"/>
  <c r="N59" i="10"/>
  <c r="P59" i="10"/>
  <c r="P57" i="10"/>
  <c r="N57" i="10"/>
  <c r="L57" i="10"/>
  <c r="J57" i="10"/>
  <c r="J55" i="10"/>
  <c r="L55" i="10"/>
  <c r="N55" i="10"/>
  <c r="P55" i="10"/>
  <c r="P53" i="10"/>
  <c r="N53" i="10"/>
  <c r="L53" i="10"/>
  <c r="J53" i="10"/>
  <c r="J51" i="10"/>
  <c r="L51" i="10"/>
  <c r="N51" i="10"/>
  <c r="P51" i="10"/>
  <c r="P49" i="10"/>
  <c r="N49" i="10"/>
  <c r="L49" i="10"/>
  <c r="J49" i="10"/>
  <c r="N47" i="10"/>
  <c r="P47" i="10"/>
  <c r="P45" i="10"/>
  <c r="N45" i="10"/>
  <c r="N43" i="10"/>
  <c r="P43" i="10"/>
  <c r="P41" i="10"/>
  <c r="N41" i="10"/>
  <c r="J39" i="10"/>
  <c r="L39" i="10"/>
  <c r="N39" i="10"/>
  <c r="P39" i="10"/>
  <c r="P37" i="10"/>
  <c r="N37" i="10"/>
  <c r="L37" i="10"/>
  <c r="J37" i="10"/>
  <c r="J35" i="10"/>
  <c r="L35" i="10"/>
  <c r="N35" i="10"/>
  <c r="P35" i="10"/>
  <c r="P33" i="10"/>
  <c r="N33" i="10"/>
  <c r="L33" i="10"/>
  <c r="J33" i="10"/>
  <c r="P31" i="10"/>
  <c r="N31" i="10"/>
  <c r="L31" i="10"/>
  <c r="J31" i="10"/>
  <c r="J29" i="10"/>
  <c r="L29" i="10"/>
  <c r="N29" i="10"/>
  <c r="P29" i="10"/>
  <c r="P27" i="10"/>
  <c r="N27" i="10"/>
  <c r="L27" i="10"/>
  <c r="J27" i="10"/>
  <c r="J25" i="10"/>
  <c r="L25" i="10"/>
  <c r="N25" i="10"/>
  <c r="P25" i="10"/>
  <c r="P23" i="10"/>
  <c r="N23" i="10"/>
  <c r="L23" i="10"/>
  <c r="J23" i="10"/>
  <c r="J21" i="10"/>
  <c r="L21" i="10"/>
  <c r="N21" i="10"/>
  <c r="P21" i="10"/>
  <c r="P19" i="10"/>
  <c r="N19" i="10"/>
  <c r="L19" i="10"/>
  <c r="J19" i="10"/>
  <c r="J17" i="10"/>
  <c r="L17" i="10"/>
  <c r="N17" i="10"/>
  <c r="P17" i="10"/>
  <c r="P15" i="10"/>
  <c r="N15" i="10"/>
  <c r="L15" i="10"/>
  <c r="J15" i="10"/>
  <c r="J13" i="10"/>
  <c r="L13" i="10"/>
  <c r="N13" i="10"/>
  <c r="P13" i="10"/>
  <c r="P11" i="10"/>
  <c r="N11" i="10"/>
  <c r="L11" i="10"/>
  <c r="J11" i="10"/>
  <c r="H11" i="10"/>
  <c r="F11" i="10"/>
  <c r="F9" i="10"/>
  <c r="H9" i="10"/>
  <c r="J9" i="10"/>
  <c r="L9" i="10"/>
  <c r="N9" i="10"/>
  <c r="P9" i="10"/>
  <c r="P7" i="10"/>
  <c r="N7" i="10"/>
  <c r="L7" i="10"/>
  <c r="J7" i="10"/>
  <c r="H7" i="10"/>
  <c r="F7" i="10"/>
  <c r="H21" i="11"/>
  <c r="L21" i="11"/>
  <c r="F25" i="11"/>
  <c r="H25" i="11"/>
  <c r="J25" i="11"/>
  <c r="L25" i="11"/>
  <c r="N25" i="11"/>
  <c r="P23" i="11"/>
  <c r="N23" i="11"/>
  <c r="L23" i="11"/>
  <c r="J23" i="11"/>
  <c r="N21" i="11"/>
  <c r="P21" i="11"/>
  <c r="P19" i="11"/>
  <c r="N19" i="11"/>
  <c r="L19" i="11"/>
  <c r="J19" i="11"/>
  <c r="J17" i="11"/>
  <c r="L17" i="11"/>
  <c r="N17" i="11"/>
  <c r="P17" i="11"/>
  <c r="P15" i="11"/>
  <c r="N15" i="11"/>
  <c r="L15" i="11"/>
  <c r="J15" i="11"/>
  <c r="H13" i="11"/>
  <c r="J13" i="11"/>
  <c r="L13" i="11"/>
  <c r="N13" i="11"/>
  <c r="P13" i="11"/>
  <c r="P11" i="11"/>
  <c r="N11" i="11"/>
  <c r="L11" i="11"/>
  <c r="J11" i="11"/>
  <c r="H11" i="11"/>
  <c r="F13" i="11"/>
  <c r="F11" i="11"/>
  <c r="P9" i="11"/>
  <c r="P7" i="11"/>
  <c r="N9" i="11"/>
  <c r="N7" i="11"/>
  <c r="L9" i="11"/>
  <c r="L7" i="11"/>
  <c r="J9" i="11"/>
  <c r="J7" i="11"/>
  <c r="H9" i="11"/>
  <c r="H7" i="11"/>
  <c r="F9" i="11"/>
  <c r="F7" i="11"/>
  <c r="Q97" i="8" l="1"/>
  <c r="P97" i="8"/>
  <c r="O97" i="8"/>
  <c r="N97" i="8"/>
  <c r="M97" i="8"/>
  <c r="L97" i="8"/>
  <c r="K97" i="8"/>
  <c r="Q95" i="8"/>
  <c r="P95" i="8"/>
  <c r="O95" i="8"/>
  <c r="N95" i="8"/>
  <c r="M95" i="8"/>
  <c r="L95" i="8"/>
  <c r="K95" i="8"/>
  <c r="Q93" i="8"/>
  <c r="P93" i="8"/>
  <c r="O93" i="8"/>
  <c r="N93" i="8"/>
  <c r="M93" i="8"/>
  <c r="L93" i="8"/>
  <c r="K93" i="8"/>
  <c r="J93" i="8"/>
  <c r="I93" i="8"/>
  <c r="L15" i="9"/>
  <c r="K39" i="9"/>
  <c r="G39" i="9"/>
  <c r="Q39" i="9"/>
  <c r="O39" i="9"/>
  <c r="M39" i="9"/>
  <c r="I39" i="9"/>
  <c r="E39" i="9"/>
  <c r="F91" i="8"/>
  <c r="H91" i="8"/>
  <c r="J91" i="8"/>
  <c r="L91" i="8"/>
  <c r="N91" i="8"/>
  <c r="P91" i="8"/>
  <c r="P89" i="8"/>
  <c r="N89" i="8"/>
  <c r="L89" i="8"/>
  <c r="J89" i="8"/>
  <c r="H89" i="8"/>
  <c r="F89" i="8"/>
  <c r="J87" i="8"/>
  <c r="L87" i="8"/>
  <c r="N87" i="8"/>
  <c r="P87" i="8"/>
  <c r="P85" i="8"/>
  <c r="N85" i="8"/>
  <c r="L85" i="8"/>
  <c r="J85" i="8"/>
  <c r="J83" i="8"/>
  <c r="L83" i="8"/>
  <c r="N83" i="8"/>
  <c r="P83" i="8"/>
  <c r="P81" i="8"/>
  <c r="N81" i="8"/>
  <c r="L81" i="8"/>
  <c r="J81" i="8"/>
  <c r="J79" i="8"/>
  <c r="L79" i="8"/>
  <c r="N79" i="8"/>
  <c r="P79" i="8"/>
  <c r="N77" i="8"/>
  <c r="P77" i="8"/>
  <c r="N75" i="8"/>
  <c r="P75" i="8"/>
  <c r="P73" i="8"/>
  <c r="P71" i="8"/>
  <c r="H65" i="8"/>
  <c r="J65" i="8"/>
  <c r="L65" i="8"/>
  <c r="N65" i="8"/>
  <c r="P65" i="8"/>
  <c r="P63" i="8"/>
  <c r="N63" i="8"/>
  <c r="L63" i="8"/>
  <c r="J61" i="8"/>
  <c r="L61" i="8"/>
  <c r="N61" i="8"/>
  <c r="P61" i="8"/>
  <c r="P59" i="8"/>
  <c r="N59" i="8"/>
  <c r="L59" i="8"/>
  <c r="J59" i="8"/>
  <c r="J57" i="8"/>
  <c r="L57" i="8"/>
  <c r="N57" i="8"/>
  <c r="P57" i="8"/>
  <c r="P55" i="8"/>
  <c r="N55" i="8"/>
  <c r="L55" i="8"/>
  <c r="J55" i="8"/>
  <c r="P53" i="8"/>
  <c r="P51" i="8"/>
  <c r="N53" i="8"/>
  <c r="N51" i="8"/>
  <c r="L53" i="8"/>
  <c r="L51" i="8"/>
  <c r="J53" i="8"/>
  <c r="J51" i="8"/>
  <c r="H53" i="8"/>
  <c r="H51" i="8"/>
  <c r="F53" i="8"/>
  <c r="F51" i="8"/>
  <c r="F49" i="8"/>
  <c r="H49" i="8"/>
  <c r="J49" i="8"/>
  <c r="L49" i="8"/>
  <c r="N49" i="8"/>
  <c r="P49" i="8"/>
  <c r="P47" i="8"/>
  <c r="N47" i="8"/>
  <c r="L47" i="8"/>
  <c r="J47" i="8"/>
  <c r="H47" i="8"/>
  <c r="F47" i="8"/>
  <c r="H45" i="8"/>
  <c r="J45" i="8"/>
  <c r="L45" i="8"/>
  <c r="N45" i="8"/>
  <c r="P45" i="8"/>
  <c r="N43" i="8"/>
  <c r="L43" i="8"/>
  <c r="J43" i="8"/>
  <c r="H43" i="8"/>
  <c r="F43" i="8"/>
  <c r="J35" i="8"/>
  <c r="L35" i="8"/>
  <c r="N35" i="8"/>
  <c r="P35" i="8"/>
  <c r="P33" i="8"/>
  <c r="N33" i="8"/>
  <c r="L33" i="8"/>
  <c r="J33" i="8"/>
  <c r="P31" i="8"/>
  <c r="N31" i="8"/>
  <c r="L31" i="8"/>
  <c r="J31" i="8"/>
  <c r="J29" i="8"/>
  <c r="L29" i="8"/>
  <c r="N29" i="8"/>
  <c r="P29" i="8"/>
  <c r="P27" i="8"/>
  <c r="N27" i="8"/>
  <c r="L27" i="8"/>
  <c r="J27" i="8"/>
  <c r="P25" i="8"/>
  <c r="P23" i="8"/>
  <c r="N25" i="8"/>
  <c r="N23" i="8"/>
  <c r="L25" i="8"/>
  <c r="L23" i="8"/>
  <c r="J25" i="8"/>
  <c r="J23" i="8"/>
  <c r="H25" i="8"/>
  <c r="H23" i="8"/>
  <c r="F25" i="8"/>
  <c r="F23" i="8"/>
  <c r="F21" i="8"/>
  <c r="H21" i="8"/>
  <c r="J21" i="8"/>
  <c r="L21" i="8"/>
  <c r="N21" i="8"/>
  <c r="P21" i="8"/>
  <c r="P19" i="8"/>
  <c r="N19" i="8"/>
  <c r="L19" i="8"/>
  <c r="J19" i="8"/>
  <c r="H19" i="8"/>
  <c r="F19" i="8"/>
  <c r="H17" i="8"/>
  <c r="J17" i="8"/>
  <c r="L17" i="8"/>
  <c r="N17" i="8"/>
  <c r="P17" i="8"/>
  <c r="P15" i="8"/>
  <c r="N15" i="8"/>
  <c r="L15" i="8"/>
  <c r="J15" i="8"/>
  <c r="H15" i="8"/>
  <c r="F15" i="8"/>
  <c r="F13" i="8"/>
  <c r="H13" i="8"/>
  <c r="J13" i="8"/>
  <c r="L13" i="8"/>
  <c r="N13" i="8"/>
  <c r="P13" i="8"/>
  <c r="P11" i="8"/>
  <c r="N11" i="8"/>
  <c r="L11" i="8"/>
  <c r="J11" i="8"/>
  <c r="H11" i="8"/>
  <c r="F11" i="8"/>
  <c r="H9" i="8"/>
  <c r="J9" i="8"/>
  <c r="L9" i="8"/>
  <c r="N9" i="8"/>
  <c r="P9" i="8"/>
  <c r="P7" i="8"/>
  <c r="N7" i="8"/>
  <c r="L7" i="8"/>
  <c r="J7" i="8"/>
  <c r="H7" i="8"/>
  <c r="F7" i="8"/>
  <c r="I91" i="8"/>
  <c r="G91" i="8"/>
  <c r="E91" i="8"/>
  <c r="I89" i="8"/>
  <c r="G89" i="8"/>
  <c r="E89" i="8"/>
  <c r="I87" i="8"/>
  <c r="Q91" i="8"/>
  <c r="O91" i="8"/>
  <c r="M91" i="8"/>
  <c r="K91" i="8"/>
  <c r="Q89" i="8"/>
  <c r="O89" i="8"/>
  <c r="M89" i="8"/>
  <c r="K89" i="8"/>
  <c r="Q87" i="8"/>
  <c r="O87" i="8"/>
  <c r="M87" i="8"/>
  <c r="K87" i="8"/>
  <c r="P38" i="6"/>
  <c r="L38" i="6"/>
  <c r="J38" i="6"/>
  <c r="H38" i="6"/>
  <c r="F38" i="6"/>
  <c r="L36" i="6"/>
  <c r="N36" i="6"/>
  <c r="P36" i="6"/>
  <c r="P34" i="6"/>
  <c r="N34" i="6"/>
  <c r="N32" i="6"/>
  <c r="P32" i="6"/>
  <c r="P30" i="6"/>
  <c r="N30" i="6"/>
  <c r="L30" i="6"/>
  <c r="J30" i="6"/>
  <c r="H30" i="6"/>
  <c r="L28" i="6"/>
  <c r="N28" i="6"/>
  <c r="P28" i="6"/>
  <c r="P26" i="6"/>
  <c r="N26" i="6"/>
  <c r="L26" i="6"/>
  <c r="J26" i="6"/>
  <c r="H26" i="6"/>
  <c r="F26" i="6"/>
  <c r="H24" i="6"/>
  <c r="J24" i="6"/>
  <c r="L24" i="6"/>
  <c r="N24" i="6"/>
  <c r="P24" i="6"/>
  <c r="P22" i="6"/>
  <c r="N22" i="6"/>
  <c r="L22" i="6"/>
  <c r="J22" i="6"/>
  <c r="J20" i="6"/>
  <c r="L20" i="6"/>
  <c r="N20" i="6"/>
  <c r="P20" i="6"/>
  <c r="P18" i="6"/>
  <c r="N18" i="6"/>
  <c r="L18" i="6"/>
  <c r="J18" i="6"/>
  <c r="F16" i="6"/>
  <c r="H16" i="6"/>
  <c r="J16" i="6"/>
  <c r="L16" i="6"/>
  <c r="P16" i="6"/>
  <c r="P14" i="6"/>
  <c r="N16" i="6"/>
  <c r="N14" i="6"/>
  <c r="L14" i="6"/>
  <c r="J14" i="6"/>
  <c r="H14" i="6"/>
  <c r="F14" i="6"/>
  <c r="H12" i="6"/>
  <c r="J12" i="6"/>
  <c r="L12" i="6"/>
  <c r="N12" i="6"/>
  <c r="P12" i="6"/>
  <c r="P10" i="6"/>
  <c r="N10" i="6"/>
  <c r="L10" i="6"/>
  <c r="J10" i="6"/>
  <c r="H10" i="6"/>
  <c r="H8" i="6"/>
  <c r="J8" i="6"/>
  <c r="L8" i="6"/>
  <c r="N8" i="6"/>
  <c r="P8" i="6"/>
  <c r="P6" i="6"/>
  <c r="N6" i="6"/>
  <c r="L6" i="6"/>
  <c r="J6" i="6"/>
  <c r="H6" i="6"/>
  <c r="F12" i="6"/>
  <c r="F10" i="6"/>
  <c r="F8" i="6"/>
  <c r="F6" i="6"/>
  <c r="Q39" i="7"/>
  <c r="O39" i="7"/>
  <c r="M39" i="7"/>
  <c r="K39" i="7"/>
  <c r="I39" i="7"/>
  <c r="P57" i="16"/>
  <c r="N57" i="16"/>
  <c r="M57" i="16"/>
  <c r="L57" i="16"/>
  <c r="K57" i="16"/>
  <c r="J57" i="16"/>
  <c r="I57" i="16"/>
  <c r="H57" i="16"/>
  <c r="G57" i="16"/>
  <c r="F57" i="16"/>
  <c r="E57" i="16"/>
  <c r="P33" i="7"/>
  <c r="N33" i="7"/>
  <c r="M33" i="7"/>
  <c r="L33" i="7"/>
  <c r="K33" i="7"/>
  <c r="J33" i="7"/>
  <c r="I33" i="7"/>
  <c r="H33" i="7"/>
  <c r="G33" i="7"/>
  <c r="F33" i="7"/>
  <c r="E33" i="7"/>
  <c r="N27" i="7" l="1"/>
  <c r="L25" i="7"/>
  <c r="H25" i="7"/>
  <c r="P39" i="7"/>
  <c r="N39" i="7"/>
  <c r="L39" i="7"/>
  <c r="J39" i="7"/>
  <c r="F37" i="7"/>
  <c r="H37" i="7"/>
  <c r="J37" i="7"/>
  <c r="L37" i="7"/>
  <c r="N37" i="7"/>
  <c r="P37" i="7"/>
  <c r="P35" i="7"/>
  <c r="N35" i="7"/>
  <c r="L35" i="7"/>
  <c r="J35" i="7"/>
  <c r="H35" i="7"/>
  <c r="F35" i="7"/>
  <c r="J31" i="7"/>
  <c r="L31" i="7"/>
  <c r="N31" i="7"/>
  <c r="P31" i="7"/>
  <c r="P27" i="7"/>
  <c r="P29" i="7"/>
  <c r="N29" i="7"/>
  <c r="L29" i="7"/>
  <c r="J29" i="7"/>
  <c r="N25" i="7"/>
  <c r="P25" i="7"/>
  <c r="P23" i="7"/>
  <c r="N23" i="7"/>
  <c r="L23" i="7"/>
  <c r="J23" i="7"/>
  <c r="J21" i="7"/>
  <c r="L21" i="7"/>
  <c r="N21" i="7"/>
  <c r="P21" i="7"/>
  <c r="P19" i="7"/>
  <c r="N19" i="7"/>
  <c r="L19" i="7"/>
  <c r="J19" i="7"/>
  <c r="J17" i="7"/>
  <c r="L17" i="7"/>
  <c r="N17" i="7"/>
  <c r="P17" i="7"/>
  <c r="P15" i="7"/>
  <c r="N15" i="7"/>
  <c r="L15" i="7"/>
  <c r="J15" i="7"/>
  <c r="H15" i="7"/>
  <c r="H13" i="7"/>
  <c r="J13" i="7"/>
  <c r="L13" i="7"/>
  <c r="N13" i="7"/>
  <c r="P13" i="7"/>
  <c r="P11" i="7"/>
  <c r="N11" i="7"/>
  <c r="L11" i="7"/>
  <c r="J11" i="7"/>
  <c r="H11" i="7"/>
  <c r="H9" i="7"/>
  <c r="J9" i="7"/>
  <c r="L9" i="7"/>
  <c r="N9" i="7"/>
  <c r="P9" i="7"/>
  <c r="P7" i="7"/>
  <c r="N7" i="7"/>
  <c r="L7" i="7"/>
  <c r="J7" i="7"/>
  <c r="H7" i="7"/>
  <c r="F15" i="7"/>
  <c r="F13" i="7"/>
  <c r="F11" i="7"/>
  <c r="F9" i="7"/>
  <c r="F7" i="7"/>
  <c r="P47" i="16"/>
  <c r="P45" i="16"/>
  <c r="P43" i="16"/>
  <c r="F59" i="16"/>
  <c r="H59" i="16"/>
  <c r="J61" i="16"/>
  <c r="J59" i="16"/>
  <c r="L61" i="16"/>
  <c r="L59" i="16"/>
  <c r="N61" i="16"/>
  <c r="N59" i="16"/>
  <c r="P61" i="16"/>
  <c r="P59" i="16"/>
  <c r="P55" i="16"/>
  <c r="P53" i="16"/>
  <c r="N55" i="16"/>
  <c r="N53" i="16"/>
  <c r="L55" i="16"/>
  <c r="L53" i="16"/>
  <c r="J55" i="16"/>
  <c r="J53" i="16"/>
  <c r="H55" i="16"/>
  <c r="H53" i="16"/>
  <c r="F51" i="16"/>
  <c r="F49" i="16"/>
  <c r="H51" i="16"/>
  <c r="H49" i="16"/>
  <c r="J51" i="16"/>
  <c r="J49" i="16"/>
  <c r="L51" i="16"/>
  <c r="L49" i="16"/>
  <c r="N51" i="16"/>
  <c r="N49" i="16"/>
  <c r="P51" i="16"/>
  <c r="P49" i="16"/>
  <c r="L47" i="16"/>
  <c r="L45" i="16"/>
  <c r="L43" i="16"/>
  <c r="F41" i="16"/>
  <c r="H41" i="16"/>
  <c r="J41" i="16"/>
  <c r="L41" i="16"/>
  <c r="N41" i="16"/>
  <c r="P41" i="16"/>
  <c r="P39" i="16"/>
  <c r="N39" i="16"/>
  <c r="L39" i="16"/>
  <c r="J39" i="16"/>
  <c r="H39" i="16"/>
  <c r="F39" i="16"/>
  <c r="H37" i="16"/>
  <c r="J37" i="16"/>
  <c r="L37" i="16"/>
  <c r="N37" i="16"/>
  <c r="P37" i="16"/>
  <c r="P35" i="16"/>
  <c r="N35" i="16"/>
  <c r="L35" i="16"/>
  <c r="J35" i="16"/>
  <c r="H35" i="16"/>
  <c r="P33" i="16"/>
  <c r="N33" i="16"/>
  <c r="L33" i="16"/>
  <c r="J33" i="16"/>
  <c r="H33" i="16"/>
  <c r="P31" i="16"/>
  <c r="N31" i="16"/>
  <c r="L31" i="16"/>
  <c r="J31" i="16"/>
  <c r="J29" i="16"/>
  <c r="L29" i="16"/>
  <c r="N29" i="16"/>
  <c r="P29" i="16"/>
  <c r="P27" i="16"/>
  <c r="N27" i="16"/>
  <c r="L27" i="16"/>
  <c r="J27" i="16"/>
  <c r="J25" i="16"/>
  <c r="L25" i="16"/>
  <c r="N25" i="16"/>
  <c r="P25" i="16"/>
  <c r="P23" i="16"/>
  <c r="N23" i="16"/>
  <c r="L23" i="16"/>
  <c r="J23" i="16"/>
  <c r="J21" i="16"/>
  <c r="L21" i="16"/>
  <c r="N21" i="16"/>
  <c r="P21" i="16"/>
  <c r="P19" i="16"/>
  <c r="N19" i="16"/>
  <c r="L19" i="16"/>
  <c r="J19" i="16"/>
  <c r="P15" i="16"/>
  <c r="N15" i="16"/>
  <c r="L15" i="16"/>
  <c r="J15" i="16"/>
  <c r="J13" i="16"/>
  <c r="L13" i="16"/>
  <c r="N13" i="16"/>
  <c r="P13" i="16"/>
  <c r="P11" i="16"/>
  <c r="N11" i="16"/>
  <c r="L11" i="16"/>
  <c r="J11" i="16"/>
  <c r="J9" i="16"/>
  <c r="L9" i="16"/>
  <c r="N9" i="16"/>
  <c r="P9" i="16"/>
  <c r="P7" i="16"/>
  <c r="N7" i="16"/>
  <c r="L7" i="16"/>
  <c r="J7" i="16"/>
  <c r="H31" i="16"/>
  <c r="H29" i="16"/>
  <c r="H27" i="16"/>
  <c r="H25" i="16"/>
  <c r="H23" i="16"/>
  <c r="H21" i="16"/>
  <c r="H19" i="16"/>
  <c r="H15" i="16"/>
  <c r="H13" i="16"/>
  <c r="H11" i="16"/>
  <c r="H9" i="16"/>
  <c r="H7" i="16"/>
  <c r="F33" i="16"/>
  <c r="F31" i="16"/>
  <c r="F29" i="16"/>
  <c r="F27" i="16"/>
  <c r="F25" i="16"/>
  <c r="F23" i="16"/>
  <c r="F21" i="16"/>
  <c r="F19" i="16"/>
  <c r="F15" i="16"/>
  <c r="F13" i="16"/>
  <c r="F11" i="16"/>
  <c r="F9" i="16"/>
  <c r="F7" i="16"/>
  <c r="P31" i="15"/>
  <c r="L35" i="15"/>
  <c r="N35" i="15"/>
  <c r="P35" i="15"/>
  <c r="P33" i="15"/>
  <c r="N33" i="15"/>
  <c r="P25" i="15"/>
  <c r="P23" i="15"/>
  <c r="P21" i="15"/>
  <c r="P19" i="15"/>
  <c r="P17" i="15"/>
  <c r="P15" i="15"/>
  <c r="P13" i="15"/>
  <c r="P11" i="15"/>
  <c r="P9" i="15"/>
  <c r="P7" i="15"/>
  <c r="N25" i="15"/>
  <c r="N23" i="15"/>
  <c r="N21" i="15"/>
  <c r="N19" i="15"/>
  <c r="N17" i="15"/>
  <c r="N15" i="15"/>
  <c r="N13" i="15"/>
  <c r="N11" i="15"/>
  <c r="N9" i="15"/>
  <c r="N7" i="15"/>
  <c r="L31" i="15"/>
  <c r="L29" i="15"/>
  <c r="L27" i="15"/>
  <c r="L25" i="15"/>
  <c r="L23" i="15"/>
  <c r="L21" i="15"/>
  <c r="L19" i="15"/>
  <c r="L17" i="15"/>
  <c r="L15" i="15"/>
  <c r="L13" i="15"/>
  <c r="L11" i="15"/>
  <c r="L9" i="15"/>
  <c r="L7" i="15"/>
  <c r="J29" i="15"/>
  <c r="J27" i="15"/>
  <c r="J25" i="15"/>
  <c r="J23" i="15"/>
  <c r="J21" i="15"/>
  <c r="J19" i="15"/>
  <c r="J17" i="15"/>
  <c r="J15" i="15"/>
  <c r="J13" i="15"/>
  <c r="J11" i="15"/>
  <c r="J9" i="15"/>
  <c r="J7" i="15"/>
  <c r="H25" i="15"/>
  <c r="H23" i="15"/>
  <c r="H21" i="15"/>
  <c r="H19" i="15"/>
  <c r="H17" i="15"/>
  <c r="H15" i="15"/>
  <c r="H13" i="15"/>
  <c r="H11" i="15"/>
  <c r="H9" i="15"/>
  <c r="H7" i="15"/>
  <c r="F11" i="15"/>
  <c r="F9" i="15"/>
  <c r="F7" i="15"/>
  <c r="M39" i="23"/>
  <c r="Y15" i="23"/>
  <c r="AA15" i="23"/>
  <c r="AC15" i="23"/>
  <c r="AE15" i="23"/>
  <c r="O15" i="23"/>
  <c r="M15" i="23"/>
  <c r="K15" i="23"/>
  <c r="I15" i="23"/>
  <c r="G15" i="23"/>
  <c r="E11" i="23"/>
  <c r="G27" i="23"/>
  <c r="K27" i="23"/>
  <c r="G17" i="23"/>
  <c r="W13" i="23"/>
  <c r="Y13" i="23"/>
  <c r="AA13" i="23"/>
  <c r="AC13" i="23"/>
  <c r="AE13" i="23"/>
  <c r="AE7" i="23"/>
  <c r="AC7" i="23"/>
  <c r="AA7" i="23"/>
  <c r="Y7" i="23"/>
  <c r="W7" i="23"/>
  <c r="E21" i="23"/>
  <c r="G21" i="23"/>
  <c r="I29" i="23"/>
  <c r="I31" i="23"/>
  <c r="I35" i="23"/>
  <c r="G39" i="23"/>
  <c r="E39" i="23"/>
  <c r="E41" i="23"/>
  <c r="G41" i="23"/>
  <c r="G43" i="23"/>
  <c r="O37" i="23"/>
  <c r="I43" i="23"/>
  <c r="I41" i="23"/>
  <c r="I39" i="23"/>
  <c r="I25" i="23"/>
  <c r="K25" i="23"/>
  <c r="K29" i="23"/>
  <c r="K31" i="23"/>
  <c r="K35" i="23"/>
  <c r="K37" i="23"/>
  <c r="K39" i="23"/>
  <c r="K41" i="23"/>
  <c r="K43" i="23"/>
  <c r="K49" i="23"/>
  <c r="O17" i="23"/>
  <c r="M17" i="23"/>
  <c r="M25" i="23"/>
  <c r="M27" i="23"/>
  <c r="O27" i="23"/>
  <c r="O29" i="23"/>
  <c r="M29" i="23"/>
  <c r="M31" i="23"/>
  <c r="M35" i="23"/>
  <c r="O39" i="23"/>
  <c r="O41" i="23"/>
  <c r="O43" i="23"/>
  <c r="O49" i="23"/>
  <c r="O31" i="23"/>
  <c r="O35" i="23"/>
  <c r="M41" i="23"/>
  <c r="M43" i="23"/>
  <c r="M49" i="23"/>
  <c r="K21" i="23"/>
  <c r="Q51" i="20"/>
  <c r="O51" i="20"/>
  <c r="M51" i="20"/>
  <c r="K51" i="20"/>
  <c r="I51" i="20"/>
  <c r="Q49" i="20"/>
  <c r="O49" i="20"/>
  <c r="M49" i="20"/>
  <c r="K49" i="20"/>
  <c r="I49" i="20"/>
  <c r="Q47" i="20"/>
  <c r="O47" i="20"/>
  <c r="M47" i="20"/>
  <c r="K47" i="20"/>
  <c r="I47" i="20"/>
  <c r="Q45" i="20"/>
  <c r="O45" i="20"/>
  <c r="M45" i="20"/>
  <c r="K45" i="20"/>
  <c r="I45" i="20"/>
  <c r="G11" i="20" l="1"/>
  <c r="Q25" i="20"/>
  <c r="O25" i="20"/>
  <c r="M25" i="20"/>
  <c r="K25" i="20"/>
  <c r="I25" i="20"/>
  <c r="Q23" i="20"/>
  <c r="O23" i="20"/>
  <c r="M23" i="20"/>
  <c r="K23" i="20"/>
  <c r="I23" i="20"/>
  <c r="Q43" i="19"/>
  <c r="O43" i="19"/>
  <c r="M43" i="19"/>
  <c r="K43" i="19"/>
  <c r="I43" i="19"/>
  <c r="G43" i="19"/>
  <c r="Q41" i="19"/>
  <c r="O41" i="19"/>
  <c r="M41" i="19"/>
  <c r="K41" i="19"/>
  <c r="I41" i="19"/>
  <c r="G41" i="19"/>
  <c r="I39" i="19"/>
  <c r="G39" i="19"/>
  <c r="I37" i="19"/>
  <c r="Q39" i="19"/>
  <c r="O39" i="19"/>
  <c r="M39" i="19"/>
  <c r="K39" i="19"/>
  <c r="Q37" i="19"/>
  <c r="O37" i="19"/>
  <c r="M37" i="19"/>
  <c r="K37" i="19"/>
  <c r="O35" i="19"/>
  <c r="M35" i="19"/>
  <c r="K35" i="19"/>
  <c r="I35" i="19"/>
  <c r="G35" i="19"/>
  <c r="E35" i="19"/>
  <c r="Q33" i="19"/>
  <c r="O33" i="19"/>
  <c r="M33" i="19"/>
  <c r="K33" i="19"/>
  <c r="I33" i="19"/>
  <c r="Q31" i="19"/>
  <c r="O31" i="19"/>
  <c r="M31" i="19"/>
  <c r="K31" i="19"/>
  <c r="I31" i="19"/>
  <c r="Q29" i="19"/>
  <c r="O29" i="19"/>
  <c r="M29" i="19"/>
  <c r="K29" i="19"/>
  <c r="I29" i="19"/>
  <c r="Q27" i="19"/>
  <c r="O27" i="19"/>
  <c r="M27" i="19"/>
  <c r="K27" i="19"/>
  <c r="I27" i="19"/>
  <c r="Q25" i="19" l="1"/>
  <c r="O25" i="19"/>
  <c r="M25" i="19"/>
  <c r="K25" i="19"/>
  <c r="I25" i="19"/>
  <c r="G25" i="19"/>
  <c r="I23" i="19"/>
  <c r="G23" i="19"/>
  <c r="Q23" i="19"/>
  <c r="O23" i="19"/>
  <c r="M23" i="19"/>
  <c r="K23" i="19"/>
  <c r="Q21" i="19"/>
  <c r="Q19" i="19"/>
  <c r="I19" i="19"/>
  <c r="K19" i="19"/>
  <c r="I21" i="19"/>
  <c r="K21" i="19"/>
  <c r="O21" i="19"/>
  <c r="O17" i="19" l="1"/>
  <c r="M17" i="19"/>
  <c r="K17" i="19"/>
  <c r="I17" i="19"/>
  <c r="G17" i="19"/>
  <c r="Q13" i="19"/>
  <c r="Q11" i="19"/>
  <c r="O19" i="19" l="1"/>
  <c r="O15" i="19"/>
  <c r="M15" i="19"/>
  <c r="K15" i="19"/>
  <c r="I15" i="19"/>
  <c r="G15" i="19"/>
  <c r="O13" i="19"/>
  <c r="M13" i="19"/>
  <c r="K13" i="19"/>
  <c r="I13" i="19"/>
  <c r="I39" i="21"/>
  <c r="G39" i="21"/>
  <c r="E39" i="21"/>
  <c r="I37" i="21"/>
  <c r="G37" i="21"/>
  <c r="E37" i="21"/>
  <c r="O39" i="21"/>
  <c r="M39" i="21"/>
  <c r="K39" i="21"/>
  <c r="O37" i="21"/>
  <c r="M37" i="21"/>
  <c r="K37" i="21"/>
  <c r="Q35" i="21"/>
  <c r="O35" i="21"/>
  <c r="M35" i="21"/>
  <c r="K35" i="21"/>
  <c r="I35" i="21"/>
  <c r="Q33" i="21"/>
  <c r="O33" i="21"/>
  <c r="M33" i="21"/>
  <c r="K33" i="21"/>
  <c r="I33" i="21"/>
  <c r="Q31" i="21"/>
  <c r="O31" i="21"/>
  <c r="M31" i="21"/>
  <c r="K31" i="21"/>
  <c r="I31" i="21"/>
  <c r="Q25" i="21" l="1"/>
  <c r="Q37" i="16" l="1"/>
  <c r="Q35" i="16"/>
  <c r="Q21" i="17"/>
  <c r="Q19" i="17"/>
  <c r="Q33" i="16"/>
  <c r="Q31" i="16"/>
  <c r="Q29" i="16"/>
  <c r="Q27" i="16"/>
  <c r="Q25" i="16"/>
  <c r="Q23" i="16"/>
  <c r="Q21" i="16"/>
  <c r="Q19" i="16"/>
  <c r="Z11" i="23"/>
  <c r="AF15" i="23"/>
  <c r="AD15" i="23"/>
  <c r="AB15" i="23"/>
  <c r="Z15" i="23"/>
  <c r="X15" i="23"/>
  <c r="P15" i="23"/>
  <c r="N15" i="23"/>
  <c r="L15" i="23"/>
  <c r="J15" i="23"/>
  <c r="H15" i="23"/>
  <c r="F15" i="23"/>
  <c r="P21" i="23"/>
  <c r="P27" i="23"/>
  <c r="N27" i="23"/>
  <c r="L27" i="23"/>
  <c r="D37" i="23"/>
  <c r="H27" i="23"/>
  <c r="D27" i="23"/>
  <c r="D17" i="23"/>
  <c r="L37" i="23"/>
  <c r="J37" i="23"/>
  <c r="P49" i="23"/>
  <c r="N49" i="23"/>
  <c r="L49" i="23"/>
  <c r="J49" i="23"/>
  <c r="P43" i="23"/>
  <c r="N43" i="23"/>
  <c r="L43" i="23"/>
  <c r="J43" i="23"/>
  <c r="H43" i="23"/>
  <c r="F43" i="23"/>
  <c r="AF13" i="23"/>
  <c r="AD13" i="23"/>
  <c r="AB13" i="23"/>
  <c r="Z13" i="23"/>
  <c r="X13" i="23"/>
  <c r="V13" i="23"/>
  <c r="AF7" i="23"/>
  <c r="AD7" i="23"/>
  <c r="AB7" i="23"/>
  <c r="Z7" i="23"/>
  <c r="X7" i="23"/>
  <c r="V7" i="23"/>
  <c r="P35" i="23"/>
  <c r="N35" i="23"/>
  <c r="L35" i="23"/>
  <c r="J35" i="23"/>
  <c r="H35" i="23"/>
  <c r="P31" i="23"/>
  <c r="N31" i="23"/>
  <c r="L31" i="23"/>
  <c r="J31" i="23"/>
  <c r="H31" i="23"/>
  <c r="P29" i="23"/>
  <c r="N29" i="23"/>
  <c r="L29" i="23"/>
  <c r="J29" i="23"/>
  <c r="H29" i="23"/>
  <c r="P17" i="23"/>
  <c r="N17" i="23"/>
  <c r="L17" i="23"/>
  <c r="K17" i="23"/>
  <c r="J17" i="23"/>
  <c r="I17" i="23"/>
  <c r="H17" i="23"/>
  <c r="AF11" i="23"/>
  <c r="AE11" i="23"/>
  <c r="AD11" i="23"/>
  <c r="AC11" i="23"/>
  <c r="AB11" i="23"/>
  <c r="AA11" i="23"/>
  <c r="Y11" i="23"/>
  <c r="X11" i="23"/>
  <c r="P13" i="23"/>
  <c r="O13" i="23"/>
  <c r="N13" i="23"/>
  <c r="M13" i="23"/>
  <c r="L13" i="23"/>
  <c r="K13" i="23"/>
  <c r="J13" i="23"/>
  <c r="I13" i="23"/>
  <c r="H13" i="23"/>
  <c r="N41" i="23"/>
  <c r="L41" i="23"/>
  <c r="J41" i="23"/>
  <c r="H41" i="23"/>
  <c r="F41" i="23"/>
  <c r="D41" i="23"/>
  <c r="N39" i="23"/>
  <c r="L39" i="23"/>
  <c r="J39" i="23"/>
  <c r="H39" i="23"/>
  <c r="F39" i="23"/>
  <c r="D39" i="23"/>
  <c r="N25" i="23"/>
  <c r="L25" i="23"/>
  <c r="J25" i="23"/>
  <c r="H25" i="23"/>
  <c r="D25" i="23"/>
  <c r="L21" i="23"/>
  <c r="J21" i="23"/>
  <c r="I21" i="23"/>
  <c r="H21" i="23"/>
  <c r="F21" i="23"/>
  <c r="D21" i="23"/>
  <c r="AD9" i="23"/>
  <c r="AC9" i="23"/>
  <c r="AB9" i="23"/>
  <c r="AA9" i="23"/>
  <c r="Z9" i="23"/>
  <c r="Y9" i="23"/>
  <c r="X9" i="23"/>
  <c r="W9" i="23"/>
  <c r="V9" i="23"/>
  <c r="U9" i="23"/>
  <c r="T9" i="23"/>
  <c r="N19" i="23"/>
  <c r="M19" i="23"/>
  <c r="L19" i="23"/>
  <c r="K19" i="23"/>
  <c r="J19" i="23"/>
  <c r="I19" i="23"/>
  <c r="H19" i="23"/>
  <c r="G19" i="23"/>
  <c r="F19" i="23"/>
  <c r="E19" i="23"/>
  <c r="D19" i="23"/>
  <c r="N11" i="23"/>
  <c r="M11" i="23"/>
  <c r="L11" i="23"/>
  <c r="K11" i="23"/>
  <c r="J11" i="23"/>
  <c r="I11" i="23"/>
  <c r="H11" i="23"/>
  <c r="G11" i="23"/>
  <c r="F11" i="23"/>
  <c r="D11" i="23"/>
  <c r="P9" i="23"/>
  <c r="O9" i="23"/>
  <c r="N9" i="23"/>
  <c r="M9" i="23"/>
  <c r="L9" i="23"/>
  <c r="K9" i="23"/>
  <c r="J9" i="23"/>
  <c r="I9" i="23"/>
  <c r="H9" i="23"/>
  <c r="G9" i="23"/>
  <c r="F9" i="23"/>
  <c r="E9" i="23"/>
  <c r="D9" i="23"/>
  <c r="P7" i="23"/>
  <c r="O7" i="23"/>
  <c r="N7" i="23"/>
  <c r="M7" i="23"/>
  <c r="L7" i="23"/>
  <c r="K7" i="23"/>
  <c r="J7" i="23"/>
  <c r="I7" i="23"/>
  <c r="H7" i="23"/>
  <c r="G7" i="23"/>
  <c r="F7" i="23"/>
  <c r="E7" i="23"/>
  <c r="D7" i="23"/>
  <c r="Q17" i="16" l="1"/>
  <c r="Q12" i="6"/>
  <c r="Q7" i="7"/>
  <c r="Q7" i="16"/>
  <c r="Q37" i="12"/>
  <c r="Q35" i="12"/>
  <c r="Q23" i="9"/>
  <c r="O23" i="9"/>
  <c r="M23" i="9"/>
  <c r="K23" i="9"/>
  <c r="I23" i="9"/>
  <c r="Q21" i="9"/>
  <c r="O21" i="9"/>
  <c r="M21" i="9"/>
  <c r="K21" i="9"/>
  <c r="I21" i="9"/>
  <c r="I41" i="20" l="1"/>
  <c r="G41" i="20"/>
  <c r="E41" i="20"/>
  <c r="I39" i="20"/>
  <c r="G39" i="20"/>
  <c r="E39" i="20"/>
  <c r="I37" i="20"/>
  <c r="G37" i="20"/>
  <c r="E37" i="20"/>
  <c r="M29" i="20"/>
  <c r="I33" i="20"/>
  <c r="I31" i="20"/>
  <c r="I29" i="20"/>
  <c r="I27" i="20"/>
  <c r="G33" i="20"/>
  <c r="E33" i="20"/>
  <c r="G31" i="20"/>
  <c r="G29" i="20"/>
  <c r="E29" i="20"/>
  <c r="G27" i="20"/>
  <c r="E27" i="20"/>
  <c r="Q33" i="20"/>
  <c r="O33" i="20"/>
  <c r="M33" i="20"/>
  <c r="K33" i="20"/>
  <c r="Q31" i="20"/>
  <c r="O31" i="20"/>
  <c r="M31" i="20"/>
  <c r="K31" i="20"/>
  <c r="Q27" i="20"/>
  <c r="O41" i="20"/>
  <c r="M41" i="20"/>
  <c r="K41" i="20"/>
  <c r="O39" i="20"/>
  <c r="M39" i="20"/>
  <c r="K39" i="20"/>
  <c r="O37" i="20"/>
  <c r="M37" i="20"/>
  <c r="K37" i="20"/>
  <c r="Q35" i="20"/>
  <c r="Q29" i="20"/>
  <c r="O29" i="20"/>
  <c r="K29" i="20"/>
  <c r="O27" i="20"/>
  <c r="M27" i="20"/>
  <c r="K27" i="20"/>
  <c r="Q11" i="20"/>
  <c r="O11" i="20"/>
  <c r="M11" i="20"/>
  <c r="K11" i="20"/>
  <c r="I11" i="20"/>
  <c r="E11" i="20"/>
  <c r="O37" i="12"/>
  <c r="M37" i="12"/>
  <c r="K37" i="12"/>
  <c r="I37" i="12"/>
  <c r="Q9" i="19"/>
  <c r="O9" i="19"/>
  <c r="M9" i="19"/>
  <c r="K9" i="19"/>
  <c r="I9" i="19"/>
  <c r="G9" i="19"/>
  <c r="E9" i="19"/>
  <c r="Q15" i="12" l="1"/>
  <c r="O15" i="12"/>
  <c r="M15" i="12"/>
  <c r="K15" i="12"/>
  <c r="I15" i="12"/>
  <c r="G15" i="12"/>
  <c r="E15" i="12"/>
  <c r="Q13" i="12"/>
  <c r="O13" i="12"/>
  <c r="M13" i="12"/>
  <c r="K13" i="12"/>
  <c r="I13" i="12"/>
  <c r="G13" i="12"/>
  <c r="E13" i="12"/>
  <c r="Q9" i="12" l="1"/>
  <c r="O9" i="12"/>
  <c r="M9" i="12"/>
  <c r="K9" i="12"/>
  <c r="I9" i="12"/>
  <c r="G9" i="12"/>
  <c r="E9" i="12"/>
  <c r="M53" i="9"/>
  <c r="K53" i="9"/>
  <c r="E49" i="9"/>
  <c r="Q37" i="9"/>
  <c r="O37" i="9"/>
  <c r="M37" i="9"/>
  <c r="K37" i="9"/>
  <c r="I37" i="9"/>
  <c r="Q35" i="9"/>
  <c r="O35" i="9"/>
  <c r="M35" i="9"/>
  <c r="K35" i="9"/>
  <c r="I35" i="9"/>
  <c r="Q33" i="9"/>
  <c r="O33" i="9"/>
  <c r="M33" i="9"/>
  <c r="K33" i="9"/>
  <c r="I33" i="9"/>
  <c r="Q77" i="8"/>
  <c r="O77" i="8"/>
  <c r="M77" i="8"/>
  <c r="Q75" i="8"/>
  <c r="O75" i="8"/>
  <c r="M75" i="8"/>
  <c r="Q73" i="8"/>
  <c r="O73" i="8"/>
  <c r="Q71" i="8"/>
  <c r="O71" i="8"/>
  <c r="I79" i="8"/>
  <c r="K79" i="8"/>
  <c r="M79" i="8"/>
  <c r="O79" i="8"/>
  <c r="Q79" i="8"/>
  <c r="I81" i="8"/>
  <c r="K81" i="8"/>
  <c r="M81" i="8"/>
  <c r="O81" i="8"/>
  <c r="Q81" i="8"/>
  <c r="Q69" i="8"/>
  <c r="Q67" i="8"/>
  <c r="Q65" i="8"/>
  <c r="O65" i="8"/>
  <c r="M65" i="8"/>
  <c r="K65" i="8"/>
  <c r="I65" i="8"/>
  <c r="G65" i="8"/>
  <c r="Q85" i="8"/>
  <c r="O85" i="8"/>
  <c r="M85" i="8"/>
  <c r="K85" i="8"/>
  <c r="I85" i="8"/>
  <c r="Q83" i="8"/>
  <c r="O83" i="8"/>
  <c r="M83" i="8"/>
  <c r="K83" i="8"/>
  <c r="I83" i="8"/>
  <c r="Q57" i="8"/>
  <c r="Q59" i="8"/>
  <c r="O59" i="8"/>
  <c r="M59" i="8"/>
  <c r="K59" i="8"/>
  <c r="I59" i="8"/>
  <c r="Q55" i="8"/>
  <c r="O55" i="8"/>
  <c r="M55" i="8"/>
  <c r="K55" i="8"/>
  <c r="I55" i="8"/>
  <c r="O57" i="8"/>
  <c r="M57" i="8"/>
  <c r="K57" i="8"/>
  <c r="I57" i="8"/>
  <c r="G53" i="8"/>
  <c r="E53" i="8"/>
  <c r="G51" i="8"/>
  <c r="E51" i="8"/>
  <c r="G49" i="8"/>
  <c r="E49" i="8"/>
  <c r="G47" i="8"/>
  <c r="E47" i="8"/>
  <c r="G45" i="8"/>
  <c r="Q49" i="8"/>
  <c r="O49" i="8"/>
  <c r="M49" i="8"/>
  <c r="K49" i="8"/>
  <c r="I49" i="8"/>
  <c r="Q51" i="8"/>
  <c r="O51" i="8"/>
  <c r="M51" i="8"/>
  <c r="K51" i="8"/>
  <c r="I51" i="8"/>
  <c r="Q53" i="8"/>
  <c r="O53" i="8"/>
  <c r="M53" i="8"/>
  <c r="K53" i="8"/>
  <c r="I53" i="8"/>
  <c r="Q47" i="8"/>
  <c r="O47" i="8"/>
  <c r="M47" i="8"/>
  <c r="K47" i="8"/>
  <c r="I47" i="8"/>
  <c r="Q45" i="8"/>
  <c r="O45" i="8"/>
  <c r="M45" i="8"/>
  <c r="K45" i="8"/>
  <c r="I45" i="8"/>
  <c r="Q61" i="10"/>
  <c r="Q13" i="7" l="1"/>
  <c r="Q11" i="7"/>
  <c r="Q15" i="16"/>
  <c r="Q13" i="16"/>
  <c r="Q53" i="10"/>
  <c r="Q71" i="10"/>
  <c r="O71" i="10"/>
  <c r="M71" i="10"/>
  <c r="K71" i="10"/>
  <c r="I71" i="10"/>
  <c r="Q73" i="10"/>
  <c r="O73" i="10"/>
  <c r="M73" i="10"/>
  <c r="K73" i="10"/>
  <c r="I73" i="10"/>
  <c r="Q69" i="10"/>
  <c r="O69" i="10"/>
  <c r="M69" i="10"/>
  <c r="K69" i="10"/>
  <c r="I69" i="10"/>
  <c r="Q53" i="9"/>
  <c r="O53" i="9"/>
  <c r="I53" i="9"/>
  <c r="Q51" i="9"/>
  <c r="O51" i="9"/>
  <c r="Q9" i="7"/>
  <c r="Q41" i="16"/>
  <c r="Q39" i="16"/>
  <c r="Q27" i="17"/>
  <c r="Q47" i="16"/>
  <c r="Q45" i="16"/>
  <c r="Q43" i="16"/>
  <c r="Q11" i="16"/>
  <c r="Q9" i="16"/>
  <c r="Q11" i="15"/>
  <c r="O11" i="15"/>
  <c r="M11" i="15"/>
  <c r="K11" i="15"/>
  <c r="I11" i="15"/>
  <c r="G11" i="15"/>
  <c r="E11" i="15"/>
  <c r="Q9" i="15"/>
  <c r="O9" i="15"/>
  <c r="M9" i="15"/>
  <c r="K9" i="15"/>
  <c r="I9" i="15"/>
  <c r="G9" i="15"/>
  <c r="E9" i="15"/>
  <c r="Q7" i="15"/>
  <c r="O7" i="15"/>
  <c r="M7" i="15"/>
  <c r="K7" i="15"/>
  <c r="I7" i="15"/>
  <c r="G7" i="15"/>
  <c r="E7" i="15"/>
  <c r="R31" i="18"/>
  <c r="R29" i="18"/>
  <c r="R27" i="18"/>
  <c r="R25" i="18"/>
  <c r="R23" i="18"/>
  <c r="R21" i="18"/>
  <c r="R19" i="18"/>
  <c r="F17" i="18"/>
  <c r="F15" i="18"/>
  <c r="F13" i="18"/>
  <c r="F11" i="18"/>
  <c r="F7" i="18"/>
  <c r="N31" i="18"/>
  <c r="L31" i="18"/>
  <c r="J31" i="18"/>
  <c r="H31" i="18"/>
  <c r="F31" i="18"/>
  <c r="N29" i="18"/>
  <c r="L29" i="18"/>
  <c r="J29" i="18"/>
  <c r="H29" i="18"/>
  <c r="F29" i="18"/>
  <c r="N27" i="18"/>
  <c r="L27" i="18"/>
  <c r="J27" i="18"/>
  <c r="H27" i="18"/>
  <c r="F27" i="18"/>
  <c r="N25" i="18"/>
  <c r="L25" i="18"/>
  <c r="J25" i="18"/>
  <c r="H25" i="18"/>
  <c r="F25" i="18"/>
  <c r="N23" i="18"/>
  <c r="L23" i="18"/>
  <c r="J23" i="18"/>
  <c r="H23" i="18"/>
  <c r="F23" i="18"/>
  <c r="N21" i="18"/>
  <c r="L21" i="18"/>
  <c r="J21" i="18"/>
  <c r="H21" i="18"/>
  <c r="F21" i="18"/>
  <c r="N19" i="18"/>
  <c r="L19" i="18"/>
  <c r="J19" i="18"/>
  <c r="H19" i="18"/>
  <c r="F19" i="18"/>
  <c r="R17" i="18"/>
  <c r="P17" i="18"/>
  <c r="N17" i="18"/>
  <c r="L17" i="18"/>
  <c r="J17" i="18"/>
  <c r="R15" i="18"/>
  <c r="P15" i="18"/>
  <c r="N15" i="18"/>
  <c r="L15" i="18"/>
  <c r="J15" i="18"/>
  <c r="R13" i="18"/>
  <c r="P13" i="18"/>
  <c r="N13" i="18"/>
  <c r="L13" i="18"/>
  <c r="J13" i="18"/>
  <c r="R11" i="18"/>
  <c r="P11" i="18"/>
  <c r="N11" i="18"/>
  <c r="L11" i="18"/>
  <c r="J11" i="18"/>
  <c r="R9" i="18"/>
  <c r="P9" i="18"/>
  <c r="N9" i="18"/>
  <c r="L9" i="18"/>
  <c r="J9" i="18"/>
  <c r="R7" i="18"/>
  <c r="P7" i="18"/>
  <c r="N7" i="18"/>
  <c r="L7" i="18"/>
  <c r="J7" i="18"/>
  <c r="Q29" i="21"/>
  <c r="O29" i="21"/>
  <c r="M29" i="21"/>
  <c r="K29" i="21"/>
  <c r="I29" i="21"/>
  <c r="Q27" i="21"/>
  <c r="O27" i="21"/>
  <c r="M27" i="21"/>
  <c r="K27" i="21"/>
  <c r="O25" i="21"/>
  <c r="M25" i="21"/>
  <c r="K25" i="21"/>
  <c r="I25" i="21"/>
  <c r="Q23" i="21"/>
  <c r="O23" i="21"/>
  <c r="M23" i="21"/>
  <c r="K23" i="21"/>
  <c r="Q21" i="21"/>
  <c r="O21" i="21"/>
  <c r="M21" i="21"/>
  <c r="K21" i="21"/>
  <c r="I21" i="21"/>
  <c r="O19" i="21"/>
  <c r="M19" i="21"/>
  <c r="K19" i="21"/>
  <c r="I19" i="21"/>
  <c r="O17" i="21"/>
  <c r="M17" i="21"/>
  <c r="K17" i="21"/>
  <c r="I17" i="21"/>
  <c r="Q15" i="21"/>
  <c r="O15" i="21"/>
  <c r="M15" i="21"/>
  <c r="K15" i="21"/>
  <c r="I15" i="21"/>
  <c r="Q13" i="21"/>
  <c r="O13" i="21"/>
  <c r="M13" i="21"/>
  <c r="K13" i="21"/>
  <c r="I13" i="21"/>
  <c r="Q11" i="21"/>
  <c r="O11" i="21"/>
  <c r="M11" i="21"/>
  <c r="K11" i="21"/>
  <c r="I11" i="21"/>
  <c r="Q9" i="21"/>
  <c r="O9" i="21"/>
  <c r="M9" i="21"/>
  <c r="K9" i="21"/>
  <c r="I9" i="21"/>
  <c r="G9" i="21"/>
  <c r="E9" i="21"/>
  <c r="Q7" i="21"/>
  <c r="O7" i="21"/>
  <c r="M7" i="21"/>
  <c r="K7" i="21"/>
  <c r="I7" i="21"/>
  <c r="G7" i="21"/>
  <c r="E7" i="21"/>
  <c r="Q21" i="20"/>
  <c r="O21" i="20"/>
  <c r="M21" i="20"/>
  <c r="K21" i="20"/>
  <c r="I21" i="20"/>
  <c r="Q19" i="20"/>
  <c r="O19" i="20"/>
  <c r="M19" i="20"/>
  <c r="Q17" i="20"/>
  <c r="O17" i="20"/>
  <c r="M17" i="20"/>
  <c r="K17" i="20"/>
  <c r="I17" i="20"/>
  <c r="Q15" i="20"/>
  <c r="O15" i="20"/>
  <c r="M15" i="20"/>
  <c r="K15" i="20"/>
  <c r="I15" i="20"/>
  <c r="Q13" i="20"/>
  <c r="O13" i="20"/>
  <c r="M13" i="20"/>
  <c r="K13" i="20"/>
  <c r="I13" i="20"/>
  <c r="G13" i="20"/>
  <c r="E13" i="20"/>
  <c r="Q9" i="20"/>
  <c r="O9" i="20"/>
  <c r="M9" i="20"/>
  <c r="K9" i="20"/>
  <c r="I9" i="20"/>
  <c r="G9" i="20"/>
  <c r="E9" i="20"/>
  <c r="Q7" i="20"/>
  <c r="O7" i="20"/>
  <c r="M7" i="20"/>
  <c r="K7" i="20"/>
  <c r="I7" i="20"/>
  <c r="G7" i="20"/>
  <c r="E7" i="20"/>
  <c r="Q45" i="12"/>
  <c r="O45" i="12"/>
  <c r="M45" i="12"/>
  <c r="K45" i="12"/>
  <c r="I45" i="12"/>
  <c r="Q43" i="12"/>
  <c r="O43" i="12"/>
  <c r="M43" i="12"/>
  <c r="K43" i="12"/>
  <c r="I43" i="12"/>
  <c r="Q41" i="12"/>
  <c r="O41" i="12"/>
  <c r="M41" i="12"/>
  <c r="K41" i="12"/>
  <c r="I41" i="12"/>
  <c r="Q39" i="12"/>
  <c r="O39" i="12"/>
  <c r="M39" i="12"/>
  <c r="K39" i="12"/>
  <c r="I39" i="12"/>
  <c r="O35" i="12"/>
  <c r="M35" i="12"/>
  <c r="K35" i="12"/>
  <c r="I35" i="12"/>
  <c r="M33" i="12"/>
  <c r="K33" i="12"/>
  <c r="I33" i="12"/>
  <c r="Q31" i="12"/>
  <c r="O31" i="12"/>
  <c r="M31" i="12"/>
  <c r="K31" i="12"/>
  <c r="I31" i="12"/>
  <c r="Q29" i="12"/>
  <c r="O29" i="12"/>
  <c r="M29" i="12"/>
  <c r="K29" i="12"/>
  <c r="I29" i="12"/>
  <c r="Q27" i="12"/>
  <c r="O27" i="12"/>
  <c r="M27" i="12"/>
  <c r="K27" i="12"/>
  <c r="I27" i="12"/>
  <c r="Q25" i="12"/>
  <c r="O25" i="12"/>
  <c r="M25" i="12"/>
  <c r="K25" i="12"/>
  <c r="I25" i="12"/>
  <c r="Q23" i="12"/>
  <c r="O23" i="12"/>
  <c r="M23" i="12"/>
  <c r="K23" i="12"/>
  <c r="I23" i="12"/>
  <c r="O21" i="12"/>
  <c r="M21" i="12"/>
  <c r="K21" i="12"/>
  <c r="I21" i="12"/>
  <c r="Q19" i="12"/>
  <c r="O19" i="12"/>
  <c r="M19" i="12"/>
  <c r="K19" i="12"/>
  <c r="I19" i="12"/>
  <c r="G19" i="12"/>
  <c r="E19" i="12"/>
  <c r="Q17" i="12"/>
  <c r="O17" i="12"/>
  <c r="M17" i="12"/>
  <c r="K17" i="12"/>
  <c r="I17" i="12"/>
  <c r="G17" i="12"/>
  <c r="E17" i="12"/>
  <c r="Q11" i="12"/>
  <c r="O11" i="12"/>
  <c r="M11" i="12"/>
  <c r="K11" i="12"/>
  <c r="I11" i="12"/>
  <c r="G11" i="12"/>
  <c r="E11" i="12"/>
  <c r="Q7" i="12"/>
  <c r="O7" i="12"/>
  <c r="M7" i="12"/>
  <c r="K7" i="12"/>
  <c r="I7" i="12"/>
  <c r="G7" i="12"/>
  <c r="E7" i="12"/>
  <c r="K39" i="13"/>
  <c r="I39" i="13"/>
  <c r="K37" i="13"/>
  <c r="I37" i="13"/>
  <c r="I31" i="13"/>
  <c r="I29" i="13"/>
  <c r="Q31" i="13"/>
  <c r="O31" i="13"/>
  <c r="M31" i="13"/>
  <c r="Q29" i="13"/>
  <c r="O29" i="13"/>
  <c r="M29" i="13"/>
  <c r="Q35" i="13"/>
  <c r="O35" i="13"/>
  <c r="M35" i="13"/>
  <c r="K35" i="13"/>
  <c r="I35" i="13"/>
  <c r="Q33" i="13"/>
  <c r="O33" i="13"/>
  <c r="M33" i="13"/>
  <c r="K33" i="13"/>
  <c r="I33" i="13"/>
  <c r="Q27" i="13"/>
  <c r="O27" i="13"/>
  <c r="M27" i="13"/>
  <c r="K27" i="13"/>
  <c r="I27" i="13"/>
  <c r="Q25" i="13"/>
  <c r="O25" i="13"/>
  <c r="M25" i="13"/>
  <c r="K25" i="13"/>
  <c r="I25" i="13"/>
  <c r="Q23" i="13"/>
  <c r="O23" i="13"/>
  <c r="M23" i="13"/>
  <c r="K23" i="13"/>
  <c r="I23" i="13"/>
  <c r="Q21" i="13"/>
  <c r="O21" i="13"/>
  <c r="M21" i="13"/>
  <c r="K21" i="13"/>
  <c r="I21" i="13"/>
  <c r="Q19" i="13"/>
  <c r="O19" i="13"/>
  <c r="M19" i="13"/>
  <c r="K19" i="13"/>
  <c r="I19" i="13"/>
  <c r="Q17" i="13"/>
  <c r="O17" i="13"/>
  <c r="M17" i="13"/>
  <c r="K17" i="13"/>
  <c r="I17" i="13"/>
  <c r="Q15" i="13"/>
  <c r="O15" i="13"/>
  <c r="M15" i="13"/>
  <c r="K15" i="13"/>
  <c r="I15" i="13"/>
  <c r="Q13" i="13"/>
  <c r="O13" i="13"/>
  <c r="M13" i="13"/>
  <c r="K13" i="13"/>
  <c r="I13" i="13"/>
  <c r="Q11" i="13"/>
  <c r="O11" i="13"/>
  <c r="M11" i="13"/>
  <c r="K11" i="13"/>
  <c r="I11" i="13"/>
  <c r="Q9" i="13"/>
  <c r="O9" i="13"/>
  <c r="M9" i="13"/>
  <c r="K9" i="13"/>
  <c r="I9" i="13"/>
  <c r="G9" i="13"/>
  <c r="E9" i="13"/>
  <c r="Q7" i="13"/>
  <c r="O7" i="13"/>
  <c r="M7" i="13"/>
  <c r="K7" i="13"/>
  <c r="I7" i="13"/>
  <c r="G7" i="13"/>
  <c r="E7" i="13"/>
  <c r="I49" i="9"/>
  <c r="Q49" i="9"/>
  <c r="O49" i="9"/>
  <c r="M49" i="9"/>
  <c r="M47" i="9"/>
  <c r="K47" i="9"/>
  <c r="I47" i="9"/>
  <c r="Q45" i="9"/>
  <c r="O45" i="9"/>
  <c r="M45" i="9"/>
  <c r="K45" i="9"/>
  <c r="I45" i="9"/>
  <c r="Q43" i="9"/>
  <c r="O43" i="9"/>
  <c r="M43" i="9"/>
  <c r="K43" i="9"/>
  <c r="I43" i="9"/>
  <c r="Q41" i="9"/>
  <c r="O41" i="9"/>
  <c r="M41" i="9"/>
  <c r="K41" i="9"/>
  <c r="I41" i="9"/>
  <c r="Q31" i="9"/>
  <c r="O31" i="9"/>
  <c r="M31" i="9"/>
  <c r="K31" i="9"/>
  <c r="I31" i="9"/>
  <c r="Q29" i="9"/>
  <c r="O29" i="9"/>
  <c r="M29" i="9"/>
  <c r="K29" i="9"/>
  <c r="I29" i="9"/>
  <c r="Q27" i="9"/>
  <c r="O27" i="9"/>
  <c r="M27" i="9"/>
  <c r="K27" i="9"/>
  <c r="I27" i="9"/>
  <c r="Q25" i="9"/>
  <c r="O25" i="9"/>
  <c r="M25" i="9"/>
  <c r="K25" i="9"/>
  <c r="I25" i="9"/>
  <c r="Q19" i="9"/>
  <c r="O19" i="9"/>
  <c r="M19" i="9"/>
  <c r="K19" i="9"/>
  <c r="I19" i="9"/>
  <c r="Q17" i="9"/>
  <c r="O17" i="9"/>
  <c r="M17" i="9"/>
  <c r="K17" i="9"/>
  <c r="I17" i="9"/>
  <c r="Q15" i="9"/>
  <c r="O15" i="9"/>
  <c r="M15" i="9"/>
  <c r="K15" i="9"/>
  <c r="I15" i="9"/>
  <c r="Q13" i="9"/>
  <c r="O13" i="9"/>
  <c r="M13" i="9"/>
  <c r="K13" i="9"/>
  <c r="I13" i="9"/>
  <c r="G13" i="9"/>
  <c r="E13" i="9"/>
  <c r="Q11" i="9"/>
  <c r="O11" i="9"/>
  <c r="M11" i="9"/>
  <c r="K11" i="9"/>
  <c r="I11" i="9"/>
  <c r="G11" i="9"/>
  <c r="E11" i="9"/>
  <c r="Q9" i="9"/>
  <c r="O9" i="9"/>
  <c r="M9" i="9"/>
  <c r="K9" i="9"/>
  <c r="I9" i="9"/>
  <c r="G9" i="9"/>
  <c r="E9" i="9"/>
  <c r="Q7" i="9"/>
  <c r="O7" i="9"/>
  <c r="M7" i="9"/>
  <c r="K7" i="9"/>
  <c r="I7" i="9"/>
  <c r="G7" i="9"/>
  <c r="E7" i="9"/>
  <c r="O11" i="19"/>
  <c r="M11" i="19"/>
  <c r="K11" i="19"/>
  <c r="I11" i="19"/>
  <c r="Q7" i="19"/>
  <c r="O7" i="19"/>
  <c r="M7" i="19"/>
  <c r="K7" i="19"/>
  <c r="I7" i="19"/>
  <c r="G7" i="19"/>
  <c r="E7" i="19"/>
  <c r="Q63" i="8"/>
  <c r="O63" i="8"/>
  <c r="M63" i="8"/>
  <c r="K63" i="8"/>
  <c r="Q61" i="8"/>
  <c r="O61" i="8"/>
  <c r="M61" i="8"/>
  <c r="K61" i="8"/>
  <c r="I61" i="8"/>
  <c r="Q35" i="8"/>
  <c r="O35" i="8"/>
  <c r="M35" i="8"/>
  <c r="K35" i="8"/>
  <c r="I35" i="8"/>
  <c r="Q33" i="8"/>
  <c r="O33" i="8"/>
  <c r="M33" i="8"/>
  <c r="K33" i="8"/>
  <c r="I33" i="8"/>
  <c r="Q31" i="8"/>
  <c r="O31" i="8"/>
  <c r="M31" i="8"/>
  <c r="K31" i="8"/>
  <c r="I31" i="8"/>
  <c r="Q29" i="8"/>
  <c r="O29" i="8"/>
  <c r="M29" i="8"/>
  <c r="K29" i="8"/>
  <c r="I29" i="8"/>
  <c r="Q27" i="8"/>
  <c r="O27" i="8"/>
  <c r="M27" i="8"/>
  <c r="K27" i="8"/>
  <c r="I27" i="8"/>
  <c r="O43" i="8"/>
  <c r="M43" i="8"/>
  <c r="K43" i="8"/>
  <c r="I43" i="8"/>
  <c r="G43" i="8"/>
  <c r="E43" i="8"/>
  <c r="O25" i="8"/>
  <c r="M25" i="8"/>
  <c r="K25" i="8"/>
  <c r="I25" i="8"/>
  <c r="G25" i="8"/>
  <c r="E25" i="8"/>
  <c r="O23" i="8"/>
  <c r="M23" i="8"/>
  <c r="K23" i="8"/>
  <c r="I23" i="8"/>
  <c r="G23" i="8"/>
  <c r="E23" i="8"/>
  <c r="Q17" i="8"/>
  <c r="O17" i="8"/>
  <c r="M17" i="8"/>
  <c r="K17" i="8"/>
  <c r="I17" i="8"/>
  <c r="G17" i="8"/>
  <c r="Q9" i="8"/>
  <c r="O9" i="8"/>
  <c r="M9" i="8"/>
  <c r="K9" i="8"/>
  <c r="I9" i="8"/>
  <c r="G9" i="8"/>
  <c r="Q21" i="8"/>
  <c r="O21" i="8"/>
  <c r="M21" i="8"/>
  <c r="K21" i="8"/>
  <c r="I21" i="8"/>
  <c r="G21" i="8"/>
  <c r="E21" i="8"/>
  <c r="Q19" i="8"/>
  <c r="O19" i="8"/>
  <c r="M19" i="8"/>
  <c r="K19" i="8"/>
  <c r="I19" i="8"/>
  <c r="G19" i="8"/>
  <c r="E19" i="8"/>
  <c r="Q15" i="8"/>
  <c r="O15" i="8"/>
  <c r="M15" i="8"/>
  <c r="K15" i="8"/>
  <c r="I15" i="8"/>
  <c r="G15" i="8"/>
  <c r="E15" i="8"/>
  <c r="Q13" i="8"/>
  <c r="O13" i="8"/>
  <c r="M13" i="8"/>
  <c r="K13" i="8"/>
  <c r="I13" i="8"/>
  <c r="G13" i="8"/>
  <c r="E13" i="8"/>
  <c r="Q11" i="8"/>
  <c r="O11" i="8"/>
  <c r="M11" i="8"/>
  <c r="K11" i="8"/>
  <c r="I11" i="8"/>
  <c r="G11" i="8"/>
  <c r="E11" i="8"/>
  <c r="Q7" i="8"/>
  <c r="O7" i="8"/>
  <c r="M7" i="8"/>
  <c r="K7" i="8"/>
  <c r="I7" i="8"/>
  <c r="G7" i="8"/>
  <c r="E7" i="8"/>
  <c r="Q25" i="17"/>
  <c r="M25" i="17"/>
  <c r="K25" i="17"/>
  <c r="E25" i="17"/>
  <c r="Q33" i="17"/>
  <c r="O33" i="17"/>
  <c r="M33" i="17"/>
  <c r="K33" i="17"/>
  <c r="Q31" i="17"/>
  <c r="O31" i="17"/>
  <c r="M31" i="17"/>
  <c r="K31" i="17"/>
  <c r="Q29" i="17"/>
  <c r="O29" i="17"/>
  <c r="M29" i="17"/>
  <c r="K29" i="17"/>
  <c r="O27" i="17"/>
  <c r="M27" i="17"/>
  <c r="K27" i="17"/>
  <c r="Q23" i="17"/>
  <c r="O23" i="17"/>
  <c r="M23" i="17"/>
  <c r="K23" i="17"/>
  <c r="I23" i="17"/>
  <c r="G23" i="17"/>
  <c r="Q17" i="17"/>
  <c r="O17" i="17"/>
  <c r="M17" i="17"/>
  <c r="K17" i="17"/>
  <c r="I17" i="17"/>
  <c r="G17" i="17"/>
  <c r="Q15" i="17"/>
  <c r="O15" i="17"/>
  <c r="M15" i="17"/>
  <c r="K15" i="17"/>
  <c r="I15" i="17"/>
  <c r="G15" i="17"/>
  <c r="O21" i="17"/>
  <c r="M21" i="17"/>
  <c r="K21" i="17"/>
  <c r="I21" i="17"/>
  <c r="G21" i="17"/>
  <c r="E21" i="17"/>
  <c r="O19" i="17"/>
  <c r="M19" i="17"/>
  <c r="K19" i="17"/>
  <c r="I19" i="17"/>
  <c r="G19" i="17"/>
  <c r="E19" i="17"/>
  <c r="Q13" i="17"/>
  <c r="O13" i="17"/>
  <c r="M13" i="17"/>
  <c r="K13" i="17"/>
  <c r="I13" i="17"/>
  <c r="G13" i="17"/>
  <c r="E13" i="17"/>
  <c r="Q11" i="17"/>
  <c r="O11" i="17"/>
  <c r="M11" i="17"/>
  <c r="K11" i="17"/>
  <c r="I11" i="17"/>
  <c r="G11" i="17"/>
  <c r="E11" i="17"/>
  <c r="Q9" i="17"/>
  <c r="O9" i="17"/>
  <c r="M9" i="17"/>
  <c r="K9" i="17"/>
  <c r="I9" i="17"/>
  <c r="G9" i="17"/>
  <c r="E9" i="17"/>
  <c r="Q7" i="17"/>
  <c r="O7" i="17"/>
  <c r="M7" i="17"/>
  <c r="K7" i="17"/>
  <c r="I7" i="17"/>
  <c r="G7" i="17"/>
  <c r="E7" i="17"/>
  <c r="O26" i="6"/>
  <c r="M26" i="6"/>
  <c r="K26" i="6"/>
  <c r="I26" i="6"/>
  <c r="G26" i="6"/>
  <c r="E26" i="6"/>
  <c r="O16" i="6"/>
  <c r="M16" i="6"/>
  <c r="K16" i="6"/>
  <c r="I16" i="6"/>
  <c r="G16" i="6"/>
  <c r="E16" i="6"/>
  <c r="O14" i="6"/>
  <c r="M14" i="6"/>
  <c r="K14" i="6"/>
  <c r="I14" i="6"/>
  <c r="G14" i="6"/>
  <c r="E14" i="6"/>
  <c r="E21" i="11"/>
  <c r="I21" i="11"/>
  <c r="Q21" i="11"/>
  <c r="O21" i="11"/>
  <c r="M21" i="11"/>
  <c r="Q23" i="11"/>
  <c r="O23" i="11"/>
  <c r="M23" i="11"/>
  <c r="K23" i="11"/>
  <c r="I23" i="11"/>
  <c r="Q19" i="11"/>
  <c r="O19" i="11"/>
  <c r="M19" i="11"/>
  <c r="K19" i="11"/>
  <c r="I19" i="11"/>
  <c r="Q17" i="11"/>
  <c r="O17" i="11"/>
  <c r="M17" i="11"/>
  <c r="K17" i="11"/>
  <c r="I17" i="11"/>
  <c r="Q15" i="11"/>
  <c r="O15" i="11"/>
  <c r="M15" i="11"/>
  <c r="K15" i="11"/>
  <c r="I15" i="11"/>
  <c r="O25" i="11"/>
  <c r="M25" i="11"/>
  <c r="K25" i="11"/>
  <c r="I25" i="11"/>
  <c r="G25" i="11"/>
  <c r="E25" i="11"/>
  <c r="O13" i="11"/>
  <c r="M13" i="11"/>
  <c r="K13" i="11"/>
  <c r="I13" i="11"/>
  <c r="G13" i="11"/>
  <c r="E13" i="11"/>
  <c r="O11" i="11"/>
  <c r="M11" i="11"/>
  <c r="K11" i="11"/>
  <c r="I11" i="11"/>
  <c r="G11" i="11"/>
  <c r="E11" i="11"/>
  <c r="K61" i="10"/>
  <c r="I61" i="10"/>
  <c r="O61" i="10"/>
  <c r="I47" i="10"/>
  <c r="I45" i="10"/>
  <c r="I43" i="10"/>
  <c r="I41" i="10"/>
  <c r="E47" i="10"/>
  <c r="E45" i="10"/>
  <c r="E43" i="10"/>
  <c r="E41" i="10"/>
  <c r="Q47" i="10"/>
  <c r="O47" i="10"/>
  <c r="M47" i="10"/>
  <c r="Q45" i="10"/>
  <c r="O45" i="10"/>
  <c r="M45" i="10"/>
  <c r="Q43" i="10"/>
  <c r="O43" i="10"/>
  <c r="M43" i="10"/>
  <c r="Q41" i="10"/>
  <c r="O41" i="10"/>
  <c r="M41" i="10"/>
  <c r="Q63" i="10"/>
  <c r="O63" i="10"/>
  <c r="M63" i="10"/>
  <c r="K63" i="10"/>
  <c r="I63" i="10"/>
  <c r="Q59" i="10"/>
  <c r="O59" i="10"/>
  <c r="M59" i="10"/>
  <c r="K59" i="10"/>
  <c r="I59" i="10"/>
  <c r="Q57" i="10"/>
  <c r="O57" i="10"/>
  <c r="M57" i="10"/>
  <c r="K57" i="10"/>
  <c r="I57" i="10"/>
  <c r="Q55" i="10"/>
  <c r="O55" i="10"/>
  <c r="M55" i="10"/>
  <c r="K55" i="10"/>
  <c r="I55" i="10"/>
  <c r="O53" i="10"/>
  <c r="M53" i="10"/>
  <c r="K53" i="10"/>
  <c r="I53" i="10"/>
  <c r="Q51" i="10"/>
  <c r="O51" i="10"/>
  <c r="M51" i="10"/>
  <c r="K51" i="10"/>
  <c r="I51" i="10"/>
  <c r="Q49" i="10"/>
  <c r="O49" i="10"/>
  <c r="M49" i="10"/>
  <c r="K49" i="10"/>
  <c r="I49" i="10"/>
  <c r="Q39" i="10"/>
  <c r="O39" i="10"/>
  <c r="M39" i="10"/>
  <c r="K39" i="10"/>
  <c r="I39" i="10"/>
  <c r="Q37" i="10"/>
  <c r="O37" i="10"/>
  <c r="M37" i="10"/>
  <c r="K37" i="10"/>
  <c r="I37" i="10"/>
  <c r="Q35" i="10"/>
  <c r="O35" i="10"/>
  <c r="M35" i="10"/>
  <c r="K35" i="10"/>
  <c r="I35" i="10"/>
  <c r="Q33" i="10"/>
  <c r="O33" i="10"/>
  <c r="M33" i="10"/>
  <c r="K33" i="10"/>
  <c r="I33" i="10"/>
  <c r="Q31" i="10"/>
  <c r="O31" i="10"/>
  <c r="M31" i="10"/>
  <c r="K31" i="10"/>
  <c r="I31" i="10"/>
  <c r="Q29" i="10"/>
  <c r="O29" i="10"/>
  <c r="M29" i="10"/>
  <c r="K29" i="10"/>
  <c r="I29" i="10"/>
  <c r="Q27" i="10"/>
  <c r="O27" i="10"/>
  <c r="M27" i="10"/>
  <c r="K27" i="10"/>
  <c r="I27" i="10"/>
  <c r="Q25" i="10"/>
  <c r="O25" i="10"/>
  <c r="M25" i="10"/>
  <c r="K25" i="10"/>
  <c r="I25" i="10"/>
  <c r="Q23" i="10"/>
  <c r="O23" i="10"/>
  <c r="M23" i="10"/>
  <c r="K23" i="10"/>
  <c r="I23" i="10"/>
  <c r="Q21" i="10"/>
  <c r="O21" i="10"/>
  <c r="M21" i="10"/>
  <c r="K21" i="10"/>
  <c r="I21" i="10"/>
  <c r="Q19" i="10"/>
  <c r="O19" i="10"/>
  <c r="M19" i="10"/>
  <c r="K19" i="10"/>
  <c r="I19" i="10"/>
  <c r="Q17" i="10"/>
  <c r="O17" i="10"/>
  <c r="M17" i="10"/>
  <c r="K17" i="10"/>
  <c r="I17" i="10"/>
  <c r="Q15" i="10"/>
  <c r="O15" i="10"/>
  <c r="M15" i="10"/>
  <c r="K15" i="10"/>
  <c r="I15" i="10"/>
  <c r="Q13" i="10"/>
  <c r="O13" i="10"/>
  <c r="M13" i="10"/>
  <c r="K13" i="10"/>
  <c r="I13" i="10"/>
  <c r="O67" i="10"/>
  <c r="M67" i="10"/>
  <c r="K67" i="10"/>
  <c r="I67" i="10"/>
  <c r="G67" i="10"/>
  <c r="E67" i="10"/>
  <c r="O11" i="10"/>
  <c r="M11" i="10"/>
  <c r="K11" i="10"/>
  <c r="I11" i="10"/>
  <c r="G11" i="10"/>
  <c r="E11" i="10"/>
  <c r="Q9" i="10"/>
  <c r="O9" i="10"/>
  <c r="M9" i="10"/>
  <c r="K9" i="10"/>
  <c r="I9" i="10"/>
  <c r="G9" i="10"/>
  <c r="E9" i="10"/>
  <c r="Q7" i="10"/>
  <c r="O7" i="10"/>
  <c r="M7" i="10"/>
  <c r="K7" i="10"/>
  <c r="I7" i="10"/>
  <c r="G7" i="10"/>
  <c r="E7" i="10"/>
  <c r="Q9" i="11" l="1"/>
  <c r="O9" i="11"/>
  <c r="M9" i="11"/>
  <c r="K9" i="11"/>
  <c r="I9" i="11"/>
  <c r="G9" i="11"/>
  <c r="E9" i="11"/>
  <c r="Q7" i="11"/>
  <c r="O7" i="11"/>
  <c r="M7" i="11"/>
  <c r="K7" i="11"/>
  <c r="I7" i="11"/>
  <c r="G7" i="11"/>
  <c r="E7" i="11"/>
  <c r="E25" i="7"/>
  <c r="Q27" i="7"/>
  <c r="O27" i="7"/>
  <c r="Q25" i="7"/>
  <c r="O25" i="7"/>
  <c r="M25" i="7"/>
  <c r="I27" i="7"/>
  <c r="I25" i="7"/>
  <c r="Q31" i="7"/>
  <c r="O31" i="7"/>
  <c r="M31" i="7"/>
  <c r="K31" i="7"/>
  <c r="I31" i="7"/>
  <c r="Q29" i="7"/>
  <c r="O29" i="7"/>
  <c r="M29" i="7"/>
  <c r="K29" i="7"/>
  <c r="I29" i="7"/>
  <c r="Q23" i="7"/>
  <c r="O23" i="7"/>
  <c r="M23" i="7"/>
  <c r="K23" i="7"/>
  <c r="I23" i="7"/>
  <c r="Q21" i="7"/>
  <c r="O21" i="7"/>
  <c r="M21" i="7"/>
  <c r="K21" i="7"/>
  <c r="I21" i="7"/>
  <c r="Q19" i="7"/>
  <c r="O19" i="7"/>
  <c r="M19" i="7"/>
  <c r="K19" i="7"/>
  <c r="I19" i="7"/>
  <c r="Q17" i="7"/>
  <c r="O17" i="7"/>
  <c r="M17" i="7"/>
  <c r="K17" i="7"/>
  <c r="I17" i="7"/>
  <c r="M37" i="7"/>
  <c r="K37" i="7"/>
  <c r="I37" i="7"/>
  <c r="G37" i="7"/>
  <c r="E37" i="7"/>
  <c r="M35" i="7"/>
  <c r="K35" i="7"/>
  <c r="I35" i="7"/>
  <c r="G35" i="7"/>
  <c r="E35" i="7"/>
  <c r="O15" i="7"/>
  <c r="M15" i="7"/>
  <c r="K15" i="7"/>
  <c r="I15" i="7"/>
  <c r="G15" i="7"/>
  <c r="E15" i="7"/>
  <c r="O13" i="7"/>
  <c r="M13" i="7"/>
  <c r="K13" i="7"/>
  <c r="I13" i="7"/>
  <c r="G13" i="7"/>
  <c r="E13" i="7"/>
  <c r="O11" i="7"/>
  <c r="M11" i="7"/>
  <c r="K11" i="7"/>
  <c r="I11" i="7"/>
  <c r="G11" i="7"/>
  <c r="E11" i="7"/>
  <c r="O9" i="7"/>
  <c r="M9" i="7"/>
  <c r="K9" i="7"/>
  <c r="I9" i="7"/>
  <c r="G9" i="7"/>
  <c r="E9" i="7"/>
  <c r="O7" i="7"/>
  <c r="M7" i="7"/>
  <c r="K7" i="7"/>
  <c r="I7" i="7"/>
  <c r="G7" i="7"/>
  <c r="E7" i="7"/>
  <c r="Q55" i="16"/>
  <c r="Q53" i="16"/>
  <c r="E47" i="16"/>
  <c r="E45" i="16"/>
  <c r="E43" i="16"/>
  <c r="O61" i="16"/>
  <c r="M61" i="16"/>
  <c r="K61" i="16"/>
  <c r="I61" i="16"/>
  <c r="O55" i="16"/>
  <c r="M55" i="16"/>
  <c r="K55" i="16"/>
  <c r="I55" i="16"/>
  <c r="G55" i="16"/>
  <c r="O53" i="16"/>
  <c r="M53" i="16"/>
  <c r="K53" i="16"/>
  <c r="I53" i="16"/>
  <c r="G53" i="16"/>
  <c r="M47" i="16"/>
  <c r="K47" i="16"/>
  <c r="M45" i="16"/>
  <c r="K45" i="16"/>
  <c r="M43" i="16"/>
  <c r="K43" i="16"/>
  <c r="O59" i="16"/>
  <c r="M59" i="16"/>
  <c r="K59" i="16"/>
  <c r="I59" i="16"/>
  <c r="G59" i="16"/>
  <c r="E59" i="16"/>
  <c r="O51" i="16"/>
  <c r="M51" i="16"/>
  <c r="K51" i="16"/>
  <c r="I51" i="16"/>
  <c r="G51" i="16"/>
  <c r="E51" i="16"/>
  <c r="O49" i="16"/>
  <c r="M49" i="16"/>
  <c r="K49" i="16"/>
  <c r="I49" i="16"/>
  <c r="G49" i="16"/>
  <c r="E49" i="16"/>
  <c r="O41" i="16"/>
  <c r="M41" i="16"/>
  <c r="K41" i="16"/>
  <c r="I41" i="16"/>
  <c r="G41" i="16"/>
  <c r="E41" i="16"/>
  <c r="O39" i="16"/>
  <c r="M39" i="16"/>
  <c r="K39" i="16"/>
  <c r="I39" i="16"/>
  <c r="G39" i="16"/>
  <c r="E39" i="16"/>
  <c r="O37" i="16"/>
  <c r="M37" i="16"/>
  <c r="K37" i="16"/>
  <c r="I37" i="16"/>
  <c r="G37" i="16"/>
  <c r="O35" i="16"/>
  <c r="M35" i="16"/>
  <c r="K35" i="16"/>
  <c r="I35" i="16"/>
  <c r="G35" i="16"/>
  <c r="O33" i="16"/>
  <c r="M33" i="16"/>
  <c r="K33" i="16"/>
  <c r="I33" i="16"/>
  <c r="G33" i="16"/>
  <c r="E33" i="16"/>
  <c r="O31" i="16"/>
  <c r="M31" i="16"/>
  <c r="K31" i="16"/>
  <c r="I31" i="16"/>
  <c r="G31" i="16"/>
  <c r="E31" i="16"/>
  <c r="O29" i="16"/>
  <c r="M29" i="16"/>
  <c r="K29" i="16"/>
  <c r="I29" i="16"/>
  <c r="G29" i="16"/>
  <c r="E29" i="16"/>
  <c r="O27" i="16"/>
  <c r="M27" i="16"/>
  <c r="K27" i="16"/>
  <c r="I27" i="16"/>
  <c r="G27" i="16"/>
  <c r="E27" i="16"/>
  <c r="O25" i="16"/>
  <c r="M25" i="16"/>
  <c r="K25" i="16"/>
  <c r="I25" i="16"/>
  <c r="G25" i="16"/>
  <c r="E25" i="16"/>
  <c r="O23" i="16"/>
  <c r="M23" i="16"/>
  <c r="K23" i="16"/>
  <c r="I23" i="16"/>
  <c r="G23" i="16"/>
  <c r="E23" i="16"/>
  <c r="O21" i="16"/>
  <c r="M21" i="16"/>
  <c r="K21" i="16"/>
  <c r="I21" i="16"/>
  <c r="G21" i="16"/>
  <c r="E21" i="16"/>
  <c r="O19" i="16"/>
  <c r="M19" i="16"/>
  <c r="K19" i="16"/>
  <c r="I19" i="16"/>
  <c r="G19" i="16"/>
  <c r="E19" i="16"/>
  <c r="O15" i="16"/>
  <c r="M15" i="16"/>
  <c r="K15" i="16"/>
  <c r="I15" i="16"/>
  <c r="G15" i="16"/>
  <c r="E15" i="16"/>
  <c r="O13" i="16"/>
  <c r="M13" i="16"/>
  <c r="K13" i="16"/>
  <c r="I13" i="16"/>
  <c r="G13" i="16"/>
  <c r="E13" i="16"/>
  <c r="O11" i="16"/>
  <c r="M11" i="16"/>
  <c r="K11" i="16"/>
  <c r="I11" i="16"/>
  <c r="G11" i="16"/>
  <c r="E11" i="16"/>
  <c r="O9" i="16"/>
  <c r="M9" i="16"/>
  <c r="K9" i="16"/>
  <c r="I9" i="16"/>
  <c r="G9" i="16"/>
  <c r="E9" i="16"/>
  <c r="O7" i="16"/>
  <c r="M7" i="16"/>
  <c r="K7" i="16"/>
  <c r="I7" i="16"/>
  <c r="G7" i="16"/>
  <c r="E7" i="16"/>
  <c r="Q25" i="15"/>
  <c r="Q23" i="15"/>
  <c r="Q21" i="15"/>
  <c r="Q19" i="15"/>
  <c r="Q17" i="15"/>
  <c r="Q15" i="15"/>
  <c r="Q13" i="15"/>
  <c r="Q34" i="6"/>
  <c r="Q32" i="6"/>
  <c r="Q30" i="6"/>
  <c r="Q28" i="6"/>
  <c r="Q22" i="6" l="1"/>
  <c r="Q18" i="6"/>
  <c r="Q20" i="6"/>
  <c r="O24" i="6"/>
  <c r="Q10" i="6" l="1"/>
  <c r="Q8" i="6"/>
  <c r="Q6" i="6"/>
  <c r="N41" i="8" l="1"/>
  <c r="L41" i="8"/>
  <c r="J41" i="8"/>
  <c r="N39" i="8"/>
  <c r="L39" i="8"/>
  <c r="J39" i="8"/>
  <c r="N37" i="8"/>
  <c r="L37" i="8"/>
  <c r="J37" i="8"/>
  <c r="H37" i="8"/>
  <c r="O10" i="6" l="1"/>
  <c r="M10" i="6"/>
  <c r="K10" i="6"/>
  <c r="I10" i="6"/>
  <c r="G10" i="6"/>
  <c r="E10" i="6"/>
  <c r="O8" i="6"/>
  <c r="M8" i="6"/>
  <c r="K8" i="6"/>
  <c r="I8" i="6"/>
  <c r="G8" i="6"/>
  <c r="E8" i="6"/>
  <c r="O6" i="6"/>
  <c r="M6" i="6"/>
  <c r="K6" i="6"/>
  <c r="I6" i="6"/>
  <c r="G6" i="6"/>
  <c r="E6" i="6"/>
</calcChain>
</file>

<file path=xl/sharedStrings.xml><?xml version="1.0" encoding="utf-8"?>
<sst xmlns="http://schemas.openxmlformats.org/spreadsheetml/2006/main" count="1350" uniqueCount="370">
  <si>
    <t>日本工学院（蒲田）</t>
    <rPh sb="0" eb="5">
      <t>ニホンコウガクイン</t>
    </rPh>
    <rPh sb="6" eb="8">
      <t>カマタ</t>
    </rPh>
    <phoneticPr fontId="2"/>
  </si>
  <si>
    <t>日本工学院（八王子）</t>
    <rPh sb="0" eb="5">
      <t>ニホンコウガクイン</t>
    </rPh>
    <rPh sb="6" eb="9">
      <t>ハチオウジ</t>
    </rPh>
    <phoneticPr fontId="2"/>
  </si>
  <si>
    <t>尚美ミュージックカレッジ</t>
    <rPh sb="0" eb="2">
      <t>ショウビ</t>
    </rPh>
    <phoneticPr fontId="2"/>
  </si>
  <si>
    <t>HAL東京</t>
    <rPh sb="3" eb="5">
      <t>トウキョウ</t>
    </rPh>
    <phoneticPr fontId="2"/>
  </si>
  <si>
    <t>ESPエンタテインメント東京</t>
    <rPh sb="12" eb="14">
      <t>トウキョウ</t>
    </rPh>
    <phoneticPr fontId="2"/>
  </si>
  <si>
    <t>音響芸術専門学校</t>
    <rPh sb="0" eb="4">
      <t>オンキョウゲイジュツ</t>
    </rPh>
    <rPh sb="4" eb="8">
      <t>センモンガッコウ</t>
    </rPh>
    <phoneticPr fontId="2"/>
  </si>
  <si>
    <t>情報科学専門学校</t>
    <rPh sb="0" eb="4">
      <t>ジョウホウカガク</t>
    </rPh>
    <rPh sb="4" eb="8">
      <t>センモンガッコウ</t>
    </rPh>
    <phoneticPr fontId="2"/>
  </si>
  <si>
    <t>東京電子専門学校</t>
    <rPh sb="0" eb="4">
      <t>トウキョウデンシ</t>
    </rPh>
    <rPh sb="4" eb="8">
      <t>センモンガッコウ</t>
    </rPh>
    <phoneticPr fontId="2"/>
  </si>
  <si>
    <t>東京デザイン
テクノロジーセンター</t>
    <rPh sb="0" eb="2">
      <t>トウキョウ</t>
    </rPh>
    <phoneticPr fontId="2"/>
  </si>
  <si>
    <t>東京アニメーションカレッジ</t>
    <rPh sb="0" eb="2">
      <t>トウキョウ</t>
    </rPh>
    <phoneticPr fontId="2"/>
  </si>
  <si>
    <t>東京デザイン専門学校</t>
    <rPh sb="0" eb="2">
      <t>トウキョウ</t>
    </rPh>
    <rPh sb="6" eb="10">
      <t>センモンガッコウ</t>
    </rPh>
    <phoneticPr fontId="2"/>
  </si>
  <si>
    <t>東京テクニカルカレッジ</t>
    <rPh sb="0" eb="2">
      <t>トウキョウ</t>
    </rPh>
    <phoneticPr fontId="2"/>
  </si>
  <si>
    <t>東京デザイナーアカデミー</t>
    <rPh sb="0" eb="2">
      <t>トウキョウ</t>
    </rPh>
    <phoneticPr fontId="2"/>
  </si>
  <si>
    <t>東京ビジュアルアーツ</t>
    <rPh sb="0" eb="2">
      <t>トウキョウ</t>
    </rPh>
    <phoneticPr fontId="2"/>
  </si>
  <si>
    <t>4年制</t>
    <rPh sb="1" eb="3">
      <t>ネンセイ</t>
    </rPh>
    <phoneticPr fontId="2"/>
  </si>
  <si>
    <t>ゲーム4年制学科
（企画・制作・デザイン）</t>
    <rPh sb="4" eb="6">
      <t>ネンセイ</t>
    </rPh>
    <rPh sb="6" eb="8">
      <t>ガッカ</t>
    </rPh>
    <rPh sb="10" eb="12">
      <t>キカク</t>
    </rPh>
    <rPh sb="13" eb="15">
      <t>セイサク</t>
    </rPh>
    <phoneticPr fontId="2"/>
  </si>
  <si>
    <t>高度情報学科
（情報処理・WEB開発・AI）</t>
    <rPh sb="0" eb="2">
      <t>コウド</t>
    </rPh>
    <rPh sb="2" eb="4">
      <t>ジョウホウ</t>
    </rPh>
    <rPh sb="4" eb="6">
      <t>ガッカ</t>
    </rPh>
    <rPh sb="8" eb="10">
      <t>ジョウホウ</t>
    </rPh>
    <rPh sb="10" eb="12">
      <t>ショリ</t>
    </rPh>
    <rPh sb="16" eb="18">
      <t>カイハツ</t>
    </rPh>
    <phoneticPr fontId="2"/>
  </si>
  <si>
    <t>ミュージック学科</t>
    <rPh sb="6" eb="8">
      <t>ガッカ</t>
    </rPh>
    <phoneticPr fontId="2"/>
  </si>
  <si>
    <t>ゲーム学科</t>
    <rPh sb="3" eb="5">
      <t>ガッカ</t>
    </rPh>
    <phoneticPr fontId="2"/>
  </si>
  <si>
    <t>CG学科</t>
    <rPh sb="2" eb="4">
      <t>ガッカ</t>
    </rPh>
    <phoneticPr fontId="2"/>
  </si>
  <si>
    <t>情報処理学科</t>
    <rPh sb="0" eb="4">
      <t>ジョウホウショリ</t>
    </rPh>
    <rPh sb="4" eb="6">
      <t>ガッカ</t>
    </rPh>
    <phoneticPr fontId="2"/>
  </si>
  <si>
    <t>2年制</t>
    <rPh sb="1" eb="3">
      <t>ネンセイ</t>
    </rPh>
    <phoneticPr fontId="2"/>
  </si>
  <si>
    <t>AIシステム科</t>
    <rPh sb="6" eb="7">
      <t>カ</t>
    </rPh>
    <phoneticPr fontId="2"/>
  </si>
  <si>
    <t>情報システム開発科</t>
    <rPh sb="0" eb="2">
      <t>ジョウホウ</t>
    </rPh>
    <rPh sb="6" eb="8">
      <t>カイハツ</t>
    </rPh>
    <rPh sb="8" eb="9">
      <t>カ</t>
    </rPh>
    <phoneticPr fontId="2"/>
  </si>
  <si>
    <t>情報処理科</t>
    <rPh sb="0" eb="5">
      <t>ジョウホウショリカ</t>
    </rPh>
    <phoneticPr fontId="2"/>
  </si>
  <si>
    <t>電気工学科</t>
    <rPh sb="0" eb="5">
      <t>デンキコウガクカ</t>
    </rPh>
    <phoneticPr fontId="2"/>
  </si>
  <si>
    <t>高度電気工学科</t>
    <rPh sb="0" eb="2">
      <t>コウド</t>
    </rPh>
    <rPh sb="2" eb="7">
      <t>デンキコウガクカ</t>
    </rPh>
    <phoneticPr fontId="2"/>
  </si>
  <si>
    <t>電気工事技術科</t>
    <rPh sb="0" eb="7">
      <t>デンキコウジギジュツカ</t>
    </rPh>
    <phoneticPr fontId="2"/>
  </si>
  <si>
    <t>電子応用工学科</t>
    <rPh sb="0" eb="4">
      <t>デンシオウヨウ</t>
    </rPh>
    <rPh sb="4" eb="7">
      <t>コウガクカ</t>
    </rPh>
    <phoneticPr fontId="2"/>
  </si>
  <si>
    <t>アニメーション科</t>
    <rPh sb="7" eb="8">
      <t>カ</t>
    </rPh>
    <phoneticPr fontId="2"/>
  </si>
  <si>
    <t>ゲーム制作科</t>
    <rPh sb="3" eb="5">
      <t>セイサク</t>
    </rPh>
    <rPh sb="5" eb="6">
      <t>カ</t>
    </rPh>
    <phoneticPr fontId="2"/>
  </si>
  <si>
    <t>ゲーム制作研究科</t>
    <rPh sb="3" eb="8">
      <t>セイサクケンキュウカ</t>
    </rPh>
    <phoneticPr fontId="2"/>
  </si>
  <si>
    <t>高度情報処理科</t>
    <rPh sb="0" eb="7">
      <t>コウドジョウホウショリカ</t>
    </rPh>
    <phoneticPr fontId="2"/>
  </si>
  <si>
    <t>ネットワークセキュリティ科</t>
    <rPh sb="12" eb="13">
      <t>カ</t>
    </rPh>
    <phoneticPr fontId="2"/>
  </si>
  <si>
    <t>アニメーション研究科</t>
    <rPh sb="7" eb="10">
      <t>ケンキュウカ</t>
    </rPh>
    <phoneticPr fontId="2"/>
  </si>
  <si>
    <t>グラフィックデザイン科</t>
    <rPh sb="10" eb="11">
      <t>カ</t>
    </rPh>
    <phoneticPr fontId="2"/>
  </si>
  <si>
    <t>CG映像制作科</t>
    <rPh sb="2" eb="4">
      <t>エイゾウ</t>
    </rPh>
    <rPh sb="4" eb="6">
      <t>セイサク</t>
    </rPh>
    <rPh sb="6" eb="7">
      <t>カ</t>
    </rPh>
    <phoneticPr fontId="2"/>
  </si>
  <si>
    <t>ゲーム企画科</t>
    <rPh sb="3" eb="5">
      <t>キカク</t>
    </rPh>
    <rPh sb="5" eb="6">
      <t>カ</t>
    </rPh>
    <phoneticPr fontId="2"/>
  </si>
  <si>
    <t>3年制</t>
    <rPh sb="1" eb="3">
      <t>ネンセイ</t>
    </rPh>
    <phoneticPr fontId="2"/>
  </si>
  <si>
    <t>中央工学校</t>
    <rPh sb="0" eb="5">
      <t>チュウオウコウガッコウ</t>
    </rPh>
    <phoneticPr fontId="2"/>
  </si>
  <si>
    <t>建築学科</t>
    <rPh sb="0" eb="4">
      <t>ケンチクガッカ</t>
    </rPh>
    <phoneticPr fontId="2"/>
  </si>
  <si>
    <t>建築工学科</t>
    <rPh sb="0" eb="2">
      <t>ケンチク</t>
    </rPh>
    <rPh sb="2" eb="5">
      <t>コウガクカ</t>
    </rPh>
    <phoneticPr fontId="2"/>
  </si>
  <si>
    <t>建築設計科</t>
    <rPh sb="0" eb="5">
      <t>ケンチクセッケイカ</t>
    </rPh>
    <phoneticPr fontId="2"/>
  </si>
  <si>
    <t>木造建築科</t>
    <rPh sb="0" eb="5">
      <t>モクゾウケンチクカ</t>
    </rPh>
    <phoneticPr fontId="2"/>
  </si>
  <si>
    <t>音楽アーティスト科</t>
    <rPh sb="0" eb="2">
      <t>オンガク</t>
    </rPh>
    <rPh sb="8" eb="9">
      <t>カ</t>
    </rPh>
    <phoneticPr fontId="2"/>
  </si>
  <si>
    <t>音楽芸能スタッフ科</t>
    <rPh sb="0" eb="4">
      <t>オンガクゲイノウ</t>
    </rPh>
    <rPh sb="8" eb="9">
      <t>カ</t>
    </rPh>
    <phoneticPr fontId="2"/>
  </si>
  <si>
    <t>放送芸術科</t>
    <rPh sb="0" eb="5">
      <t>ホウソウゲイジュツカ</t>
    </rPh>
    <phoneticPr fontId="2"/>
  </si>
  <si>
    <t>放送音響科</t>
    <rPh sb="0" eb="4">
      <t>ホウソウオンキョウ</t>
    </rPh>
    <rPh sb="4" eb="5">
      <t>カ</t>
    </rPh>
    <phoneticPr fontId="2"/>
  </si>
  <si>
    <t>テレビ美術科</t>
    <rPh sb="3" eb="6">
      <t>ビジュツカ</t>
    </rPh>
    <phoneticPr fontId="2"/>
  </si>
  <si>
    <t>放送技術科</t>
    <rPh sb="0" eb="5">
      <t>ホウソウギジュツカ</t>
    </rPh>
    <phoneticPr fontId="2"/>
  </si>
  <si>
    <t>照明クリエイティブ科</t>
    <rPh sb="0" eb="2">
      <t>ショウメイ</t>
    </rPh>
    <rPh sb="9" eb="10">
      <t>カ</t>
    </rPh>
    <phoneticPr fontId="2"/>
  </si>
  <si>
    <t>クリエイティブアート科</t>
    <rPh sb="10" eb="11">
      <t>カ</t>
    </rPh>
    <phoneticPr fontId="2"/>
  </si>
  <si>
    <t>ビジュアルデザイン科</t>
    <rPh sb="9" eb="10">
      <t>カ</t>
    </rPh>
    <phoneticPr fontId="2"/>
  </si>
  <si>
    <t>インテリアデザイン科</t>
    <rPh sb="9" eb="10">
      <t>カ</t>
    </rPh>
    <phoneticPr fontId="2"/>
  </si>
  <si>
    <t>イラストレーション科</t>
    <rPh sb="9" eb="10">
      <t>カ</t>
    </rPh>
    <phoneticPr fontId="2"/>
  </si>
  <si>
    <t>マンガ科</t>
    <rPh sb="3" eb="4">
      <t>カ</t>
    </rPh>
    <phoneticPr fontId="2"/>
  </si>
  <si>
    <t>空間ディスプレイデザイン科</t>
    <rPh sb="0" eb="2">
      <t>クウカン</t>
    </rPh>
    <rPh sb="12" eb="13">
      <t>カ</t>
    </rPh>
    <phoneticPr fontId="2"/>
  </si>
  <si>
    <t>映像デザイン科</t>
    <rPh sb="0" eb="2">
      <t>エイゾウ</t>
    </rPh>
    <rPh sb="6" eb="7">
      <t>カ</t>
    </rPh>
    <phoneticPr fontId="2"/>
  </si>
  <si>
    <t>プロダクトデザイン科</t>
    <rPh sb="9" eb="10">
      <t>カ</t>
    </rPh>
    <phoneticPr fontId="2"/>
  </si>
  <si>
    <t>コミックイラスト科</t>
    <rPh sb="8" eb="9">
      <t>カ</t>
    </rPh>
    <phoneticPr fontId="2"/>
  </si>
  <si>
    <t>建築デザイン科</t>
    <rPh sb="0" eb="2">
      <t>ケンチク</t>
    </rPh>
    <rPh sb="6" eb="7">
      <t>カ</t>
    </rPh>
    <phoneticPr fontId="2"/>
  </si>
  <si>
    <t>パフォーミングアーツ学科</t>
    <rPh sb="10" eb="12">
      <t>ガッカ</t>
    </rPh>
    <phoneticPr fontId="2"/>
  </si>
  <si>
    <t>ダンス学科</t>
    <rPh sb="3" eb="5">
      <t>ガッカ</t>
    </rPh>
    <phoneticPr fontId="2"/>
  </si>
  <si>
    <t>アニメーション学科</t>
    <rPh sb="7" eb="9">
      <t>ガッカ</t>
    </rPh>
    <phoneticPr fontId="2"/>
  </si>
  <si>
    <t>マンガ・イラスト学科</t>
    <rPh sb="8" eb="10">
      <t>ガッカ</t>
    </rPh>
    <phoneticPr fontId="2"/>
  </si>
  <si>
    <t>声優学科</t>
    <rPh sb="0" eb="4">
      <t>セイユウガッカ</t>
    </rPh>
    <phoneticPr fontId="2"/>
  </si>
  <si>
    <t>船橋情報ビジネス専門学校</t>
    <rPh sb="0" eb="2">
      <t>フナバシ</t>
    </rPh>
    <rPh sb="2" eb="4">
      <t>ジョウホウ</t>
    </rPh>
    <rPh sb="8" eb="12">
      <t>センモンガッコウ</t>
    </rPh>
    <phoneticPr fontId="2"/>
  </si>
  <si>
    <t>クリエイティブデザイン科
（高度コミュニケーションデザイン）</t>
    <rPh sb="11" eb="12">
      <t>カ</t>
    </rPh>
    <rPh sb="14" eb="16">
      <t>コウド</t>
    </rPh>
    <phoneticPr fontId="2"/>
  </si>
  <si>
    <t>クリエイティブデザイン科
（高度グラフィックアート）</t>
    <rPh sb="11" eb="12">
      <t>カ</t>
    </rPh>
    <rPh sb="14" eb="16">
      <t>コウド</t>
    </rPh>
    <phoneticPr fontId="2"/>
  </si>
  <si>
    <t>クリエイティブデザイン科
（高度プロダクトデザイン）</t>
    <rPh sb="11" eb="12">
      <t>カ</t>
    </rPh>
    <rPh sb="14" eb="16">
      <t>コウド</t>
    </rPh>
    <phoneticPr fontId="2"/>
  </si>
  <si>
    <t>インダストリアルデザイン科
（インダストリアルデザイナー）</t>
    <rPh sb="12" eb="13">
      <t>カ</t>
    </rPh>
    <phoneticPr fontId="2"/>
  </si>
  <si>
    <t>インダストリアルデザイン科
（クラフト・ファニチャー）</t>
    <rPh sb="12" eb="13">
      <t>カ</t>
    </rPh>
    <phoneticPr fontId="2"/>
  </si>
  <si>
    <t>グラフィックデザイン科
（グラフィックデザイナー）</t>
    <rPh sb="10" eb="11">
      <t>カ</t>
    </rPh>
    <phoneticPr fontId="2"/>
  </si>
  <si>
    <t>イラストレーション科
（コミックイラスト）</t>
    <rPh sb="9" eb="10">
      <t>カ</t>
    </rPh>
    <phoneticPr fontId="2"/>
  </si>
  <si>
    <t>イラストレーション科
（イラストレーター）</t>
    <rPh sb="9" eb="10">
      <t>カ</t>
    </rPh>
    <phoneticPr fontId="2"/>
  </si>
  <si>
    <t>建築工学科</t>
    <rPh sb="0" eb="5">
      <t>ケンチクコウガクカ</t>
    </rPh>
    <phoneticPr fontId="2"/>
  </si>
  <si>
    <t>HAL東京</t>
    <phoneticPr fontId="2"/>
  </si>
  <si>
    <t>日本電子専門学校</t>
    <rPh sb="0" eb="8">
      <t>ニホンデンシセンモンガッコウ</t>
    </rPh>
    <phoneticPr fontId="2"/>
  </si>
  <si>
    <t>東京クールジャパン</t>
    <rPh sb="0" eb="2">
      <t>トウキョウ</t>
    </rPh>
    <phoneticPr fontId="2"/>
  </si>
  <si>
    <t>ゲーム総合学科</t>
    <rPh sb="3" eb="5">
      <t>ソウゴウ</t>
    </rPh>
    <rPh sb="5" eb="7">
      <t>ガッカ</t>
    </rPh>
    <phoneticPr fontId="2"/>
  </si>
  <si>
    <t>横浜デジタルアーツ</t>
    <rPh sb="0" eb="2">
      <t>ヨコハマ</t>
    </rPh>
    <phoneticPr fontId="2"/>
  </si>
  <si>
    <t>ゲーム科</t>
    <rPh sb="3" eb="4">
      <t>カ</t>
    </rPh>
    <phoneticPr fontId="2"/>
  </si>
  <si>
    <t>クリエイター学科</t>
    <rPh sb="6" eb="8">
      <t>ガッカ</t>
    </rPh>
    <phoneticPr fontId="2"/>
  </si>
  <si>
    <t>高度クリエイター学科</t>
    <rPh sb="0" eb="2">
      <t>コウド</t>
    </rPh>
    <rPh sb="8" eb="10">
      <t>ガッカ</t>
    </rPh>
    <phoneticPr fontId="2"/>
  </si>
  <si>
    <t>ゲームクリエイター科4年制</t>
    <rPh sb="9" eb="10">
      <t>カ</t>
    </rPh>
    <rPh sb="11" eb="13">
      <t>ネンセイ</t>
    </rPh>
    <phoneticPr fontId="2"/>
  </si>
  <si>
    <t>ゲームクリエイター科</t>
    <rPh sb="9" eb="10">
      <t>カ</t>
    </rPh>
    <phoneticPr fontId="2"/>
  </si>
  <si>
    <t>国際理工カレッジ</t>
    <rPh sb="0" eb="2">
      <t>コクサイ</t>
    </rPh>
    <rPh sb="2" eb="4">
      <t>リコウ</t>
    </rPh>
    <phoneticPr fontId="2"/>
  </si>
  <si>
    <t>ゲームクリエイター科（4年制）</t>
    <rPh sb="9" eb="10">
      <t>カ</t>
    </rPh>
    <rPh sb="12" eb="14">
      <t>ネンセイ</t>
    </rPh>
    <phoneticPr fontId="2"/>
  </si>
  <si>
    <t>ゲームクリエイター科（3年制）</t>
    <rPh sb="9" eb="10">
      <t>カ</t>
    </rPh>
    <rPh sb="12" eb="14">
      <t>ネンセイ</t>
    </rPh>
    <phoneticPr fontId="2"/>
  </si>
  <si>
    <t>マンガ・アニメーション科
（4年制）</t>
    <rPh sb="11" eb="12">
      <t>カ</t>
    </rPh>
    <rPh sb="15" eb="17">
      <t>ネンセイ</t>
    </rPh>
    <phoneticPr fontId="2"/>
  </si>
  <si>
    <t>マンガ・アニメーション科</t>
    <rPh sb="11" eb="12">
      <t>カ</t>
    </rPh>
    <phoneticPr fontId="2"/>
  </si>
  <si>
    <t>CG・デザイン・アニメ
4年制学科（アニメ・イラスト）</t>
    <rPh sb="13" eb="15">
      <t>ネンセイ</t>
    </rPh>
    <rPh sb="15" eb="17">
      <t>ガッカ</t>
    </rPh>
    <phoneticPr fontId="2"/>
  </si>
  <si>
    <t>東洋美術学校</t>
    <rPh sb="0" eb="2">
      <t>トウヨウ</t>
    </rPh>
    <rPh sb="2" eb="4">
      <t>ビジュツ</t>
    </rPh>
    <rPh sb="4" eb="6">
      <t>ガッコウ</t>
    </rPh>
    <phoneticPr fontId="2"/>
  </si>
  <si>
    <t>ITスペシャリスト科</t>
    <rPh sb="9" eb="10">
      <t>カ</t>
    </rPh>
    <phoneticPr fontId="2"/>
  </si>
  <si>
    <t>青山製図専門学校</t>
    <rPh sb="0" eb="2">
      <t>アオヤマ</t>
    </rPh>
    <rPh sb="2" eb="4">
      <t>セイズ</t>
    </rPh>
    <rPh sb="4" eb="6">
      <t>センモン</t>
    </rPh>
    <rPh sb="6" eb="8">
      <t>ガッコウ</t>
    </rPh>
    <phoneticPr fontId="2"/>
  </si>
  <si>
    <t>建築設計デザイン科</t>
    <rPh sb="0" eb="4">
      <t>ケンチクセッケイ</t>
    </rPh>
    <rPh sb="8" eb="9">
      <t>カ</t>
    </rPh>
    <phoneticPr fontId="2"/>
  </si>
  <si>
    <t>住宅設計デザイン科</t>
    <rPh sb="0" eb="4">
      <t>ジュウタクセッケイ</t>
    </rPh>
    <rPh sb="8" eb="9">
      <t>カ</t>
    </rPh>
    <phoneticPr fontId="2"/>
  </si>
  <si>
    <t>デザイン科</t>
    <rPh sb="4" eb="5">
      <t>カ</t>
    </rPh>
    <phoneticPr fontId="2"/>
  </si>
  <si>
    <t>CG・デザイン・アニメ4年制
（グラフィックデザイン）</t>
    <rPh sb="12" eb="14">
      <t>ネンセイ</t>
    </rPh>
    <phoneticPr fontId="2"/>
  </si>
  <si>
    <t>グラフィック科</t>
    <rPh sb="6" eb="7">
      <t>カ</t>
    </rPh>
    <phoneticPr fontId="2"/>
  </si>
  <si>
    <t>日本デザイナー学院</t>
    <rPh sb="0" eb="2">
      <t>ニッポン</t>
    </rPh>
    <rPh sb="7" eb="9">
      <t>ガクイン</t>
    </rPh>
    <phoneticPr fontId="2"/>
  </si>
  <si>
    <t>総合デザイン科</t>
    <rPh sb="0" eb="2">
      <t>ソウゴウ</t>
    </rPh>
    <rPh sb="6" eb="7">
      <t>カ</t>
    </rPh>
    <phoneticPr fontId="2"/>
  </si>
  <si>
    <t>総合デザイン科
（ビジュアルデザイン）</t>
    <rPh sb="0" eb="2">
      <t>ソウゴウ</t>
    </rPh>
    <rPh sb="6" eb="7">
      <t>カ</t>
    </rPh>
    <phoneticPr fontId="2"/>
  </si>
  <si>
    <t>総合デザイン科
（グラフィックデザイン）</t>
    <rPh sb="0" eb="2">
      <t>ソウゴウ</t>
    </rPh>
    <rPh sb="6" eb="7">
      <t>カ</t>
    </rPh>
    <phoneticPr fontId="2"/>
  </si>
  <si>
    <t>総合イラストレーション科</t>
    <rPh sb="0" eb="2">
      <t>ソウゴウ</t>
    </rPh>
    <rPh sb="11" eb="12">
      <t>カ</t>
    </rPh>
    <phoneticPr fontId="2"/>
  </si>
  <si>
    <t>桑沢デザイン研究所</t>
    <rPh sb="0" eb="2">
      <t>クワサワ</t>
    </rPh>
    <rPh sb="6" eb="9">
      <t>ケンキュウジョ</t>
    </rPh>
    <phoneticPr fontId="2"/>
  </si>
  <si>
    <t>東京デザイナー
アカデミー</t>
    <rPh sb="0" eb="2">
      <t>トウキョウ</t>
    </rPh>
    <phoneticPr fontId="2"/>
  </si>
  <si>
    <t>阿佐ヶ谷美術専門学校</t>
    <rPh sb="0" eb="10">
      <t>アサガヤビジュツセンモンガッコウ</t>
    </rPh>
    <phoneticPr fontId="2"/>
  </si>
  <si>
    <t>デザイン学科</t>
    <rPh sb="4" eb="6">
      <t>ガッカ</t>
    </rPh>
    <phoneticPr fontId="2"/>
  </si>
  <si>
    <t>CG映像科</t>
    <rPh sb="2" eb="5">
      <t>エイゾウカ</t>
    </rPh>
    <phoneticPr fontId="2"/>
  </si>
  <si>
    <t>CG科</t>
    <rPh sb="2" eb="3">
      <t>カ</t>
    </rPh>
    <phoneticPr fontId="2"/>
  </si>
  <si>
    <t>電子・電気科</t>
    <rPh sb="0" eb="2">
      <t>デンシ</t>
    </rPh>
    <rPh sb="3" eb="6">
      <t>デンキカ</t>
    </rPh>
    <phoneticPr fontId="2"/>
  </si>
  <si>
    <t>電子・電気科</t>
    <rPh sb="0" eb="2">
      <t>デンシ</t>
    </rPh>
    <rPh sb="3" eb="5">
      <t>デンキ</t>
    </rPh>
    <rPh sb="5" eb="6">
      <t>カ</t>
    </rPh>
    <phoneticPr fontId="2"/>
  </si>
  <si>
    <t>電子技術科</t>
    <rPh sb="0" eb="2">
      <t>デンシ</t>
    </rPh>
    <rPh sb="2" eb="5">
      <t>ギジュツカ</t>
    </rPh>
    <phoneticPr fontId="2"/>
  </si>
  <si>
    <t>応用生物学科</t>
    <rPh sb="0" eb="2">
      <t>オウヨウ</t>
    </rPh>
    <rPh sb="2" eb="4">
      <t>セイブツ</t>
    </rPh>
    <rPh sb="4" eb="6">
      <t>ガッカ</t>
    </rPh>
    <phoneticPr fontId="2"/>
  </si>
  <si>
    <t>バイオテクノロジー科</t>
    <rPh sb="9" eb="10">
      <t>カ</t>
    </rPh>
    <phoneticPr fontId="2"/>
  </si>
  <si>
    <t>環境テクノロジー科</t>
    <rPh sb="0" eb="2">
      <t>カンキョウ</t>
    </rPh>
    <rPh sb="8" eb="9">
      <t>カ</t>
    </rPh>
    <phoneticPr fontId="2"/>
  </si>
  <si>
    <t>建築監督科</t>
    <rPh sb="0" eb="2">
      <t>ケンチク</t>
    </rPh>
    <rPh sb="2" eb="4">
      <t>カントク</t>
    </rPh>
    <rPh sb="4" eb="5">
      <t>カ</t>
    </rPh>
    <phoneticPr fontId="2"/>
  </si>
  <si>
    <t>建築科</t>
    <rPh sb="0" eb="2">
      <t>ケンチク</t>
    </rPh>
    <rPh sb="2" eb="3">
      <t>カ</t>
    </rPh>
    <phoneticPr fontId="2"/>
  </si>
  <si>
    <t>インテリア科</t>
    <rPh sb="5" eb="6">
      <t>カ</t>
    </rPh>
    <phoneticPr fontId="2"/>
  </si>
  <si>
    <t>IoT・AI科</t>
    <rPh sb="6" eb="7">
      <t>カ</t>
    </rPh>
    <phoneticPr fontId="2"/>
  </si>
  <si>
    <t>データサイエンス＋AI科</t>
    <rPh sb="11" eb="12">
      <t>カ</t>
    </rPh>
    <phoneticPr fontId="2"/>
  </si>
  <si>
    <t>東京バイオテクノロジー
専門学校</t>
    <rPh sb="0" eb="2">
      <t>トウキョウ</t>
    </rPh>
    <rPh sb="12" eb="16">
      <t>センモンガッコウ</t>
    </rPh>
    <phoneticPr fontId="2"/>
  </si>
  <si>
    <t>バイオテクノロジー科4年制</t>
    <rPh sb="9" eb="10">
      <t>カ</t>
    </rPh>
    <rPh sb="11" eb="13">
      <t>ネンセイ</t>
    </rPh>
    <phoneticPr fontId="2"/>
  </si>
  <si>
    <t>バイオテクノロジー科3年制</t>
    <rPh sb="9" eb="10">
      <t>カ</t>
    </rPh>
    <rPh sb="11" eb="13">
      <t>ネンセイ</t>
    </rPh>
    <phoneticPr fontId="2"/>
  </si>
  <si>
    <t>土木・造園科</t>
    <rPh sb="0" eb="2">
      <t>ドボク</t>
    </rPh>
    <rPh sb="3" eb="6">
      <t>ゾウエンカ</t>
    </rPh>
    <phoneticPr fontId="2"/>
  </si>
  <si>
    <t>土木建設科</t>
    <rPh sb="0" eb="2">
      <t>ドボク</t>
    </rPh>
    <rPh sb="2" eb="4">
      <t>ケンセツ</t>
    </rPh>
    <rPh sb="4" eb="5">
      <t>カ</t>
    </rPh>
    <phoneticPr fontId="2"/>
  </si>
  <si>
    <t>一級自動車整備科</t>
    <rPh sb="0" eb="5">
      <t>イッキュウジドウシャ</t>
    </rPh>
    <rPh sb="5" eb="8">
      <t>セイビカ</t>
    </rPh>
    <phoneticPr fontId="2"/>
  </si>
  <si>
    <t>自動車整備科</t>
    <rPh sb="0" eb="3">
      <t>ジドウシャ</t>
    </rPh>
    <rPh sb="3" eb="6">
      <t>セイビカ</t>
    </rPh>
    <phoneticPr fontId="2"/>
  </si>
  <si>
    <t>トヨタ東京自動車大学校</t>
    <rPh sb="3" eb="5">
      <t>トウキョウ</t>
    </rPh>
    <rPh sb="5" eb="8">
      <t>ジドウシャ</t>
    </rPh>
    <rPh sb="8" eb="11">
      <t>ダイガッコウ</t>
    </rPh>
    <phoneticPr fontId="2"/>
  </si>
  <si>
    <t>1級自動車科</t>
    <rPh sb="1" eb="5">
      <t>キュウジドウシャ</t>
    </rPh>
    <rPh sb="5" eb="6">
      <t>カ</t>
    </rPh>
    <phoneticPr fontId="2"/>
  </si>
  <si>
    <t>国際整備科</t>
    <rPh sb="0" eb="5">
      <t>コクサイセイビカ</t>
    </rPh>
    <phoneticPr fontId="2"/>
  </si>
  <si>
    <t>スマートモビリティ科</t>
    <rPh sb="9" eb="10">
      <t>カ</t>
    </rPh>
    <phoneticPr fontId="2"/>
  </si>
  <si>
    <t>東京自動車大学校</t>
    <rPh sb="0" eb="2">
      <t>トウキョウ</t>
    </rPh>
    <rPh sb="2" eb="5">
      <t>ジドウシャ</t>
    </rPh>
    <rPh sb="5" eb="8">
      <t>ダイガッコウ</t>
    </rPh>
    <phoneticPr fontId="2"/>
  </si>
  <si>
    <t>自動車整備科
（2級整備士）</t>
    <rPh sb="0" eb="3">
      <t>ジドウシャ</t>
    </rPh>
    <rPh sb="3" eb="6">
      <t>セイビカ</t>
    </rPh>
    <rPh sb="9" eb="10">
      <t>キュウ</t>
    </rPh>
    <rPh sb="10" eb="12">
      <t>セイビ</t>
    </rPh>
    <rPh sb="12" eb="13">
      <t>シ</t>
    </rPh>
    <phoneticPr fontId="2"/>
  </si>
  <si>
    <t>自動車整備科
（1級整備士前期課程）</t>
    <rPh sb="0" eb="3">
      <t>ジドウシャ</t>
    </rPh>
    <rPh sb="3" eb="6">
      <t>セイビカ</t>
    </rPh>
    <rPh sb="9" eb="13">
      <t>キュウセイビシ</t>
    </rPh>
    <rPh sb="13" eb="17">
      <t>ゼンキカテイ</t>
    </rPh>
    <phoneticPr fontId="2"/>
  </si>
  <si>
    <t>自動車整備科
（1級整備士後期課程）</t>
    <rPh sb="0" eb="3">
      <t>ジドウシャ</t>
    </rPh>
    <rPh sb="3" eb="6">
      <t>セイビカ</t>
    </rPh>
    <rPh sb="9" eb="13">
      <t>キュウセイビシ</t>
    </rPh>
    <rPh sb="13" eb="15">
      <t>コウキ</t>
    </rPh>
    <rPh sb="15" eb="17">
      <t>カテイ</t>
    </rPh>
    <phoneticPr fontId="2"/>
  </si>
  <si>
    <t>東京工科自動車大学校</t>
    <rPh sb="0" eb="4">
      <t>トウキョウコウカ</t>
    </rPh>
    <rPh sb="4" eb="7">
      <t>ジドウシャ</t>
    </rPh>
    <rPh sb="7" eb="10">
      <t>ダイガッコウ</t>
    </rPh>
    <phoneticPr fontId="2"/>
  </si>
  <si>
    <t>1級自動車整備科</t>
    <rPh sb="1" eb="2">
      <t>キュウ</t>
    </rPh>
    <rPh sb="2" eb="5">
      <t>ジドウシャ</t>
    </rPh>
    <rPh sb="5" eb="8">
      <t>セイビカ</t>
    </rPh>
    <phoneticPr fontId="2"/>
  </si>
  <si>
    <t>東京工科自動車大学校
世田谷校</t>
    <rPh sb="0" eb="4">
      <t>トウキョウコウカ</t>
    </rPh>
    <rPh sb="4" eb="7">
      <t>ジドウシャ</t>
    </rPh>
    <rPh sb="7" eb="10">
      <t>ダイガッコウ</t>
    </rPh>
    <rPh sb="11" eb="15">
      <t>セタガヤコウ</t>
    </rPh>
    <phoneticPr fontId="2"/>
  </si>
  <si>
    <t>1級自動車エンジニア科</t>
    <rPh sb="1" eb="2">
      <t>キュウ</t>
    </rPh>
    <rPh sb="2" eb="5">
      <t>ジドウシャ</t>
    </rPh>
    <rPh sb="10" eb="11">
      <t>カ</t>
    </rPh>
    <phoneticPr fontId="2"/>
  </si>
  <si>
    <t>東京工科自動車大学校
品川校</t>
    <rPh sb="0" eb="2">
      <t>トウキョウ</t>
    </rPh>
    <rPh sb="2" eb="4">
      <t>コウカ</t>
    </rPh>
    <rPh sb="4" eb="7">
      <t>ジドウシャ</t>
    </rPh>
    <rPh sb="7" eb="10">
      <t>ダイガッコウ</t>
    </rPh>
    <rPh sb="11" eb="13">
      <t>シナガワ</t>
    </rPh>
    <rPh sb="13" eb="14">
      <t>コウ</t>
    </rPh>
    <phoneticPr fontId="2"/>
  </si>
  <si>
    <t>読売自動車大学校</t>
    <rPh sb="0" eb="2">
      <t>ヨミウリ</t>
    </rPh>
    <rPh sb="2" eb="5">
      <t>ジドウシャ</t>
    </rPh>
    <rPh sb="5" eb="8">
      <t>ダイガッコウ</t>
    </rPh>
    <phoneticPr fontId="2"/>
  </si>
  <si>
    <t>1級整備学科</t>
    <rPh sb="1" eb="2">
      <t>キュウ</t>
    </rPh>
    <rPh sb="2" eb="4">
      <t>セイビ</t>
    </rPh>
    <rPh sb="4" eb="6">
      <t>ガッカ</t>
    </rPh>
    <phoneticPr fontId="2"/>
  </si>
  <si>
    <t>自動車整備学科</t>
    <rPh sb="0" eb="3">
      <t>ジドウシャ</t>
    </rPh>
    <rPh sb="3" eb="5">
      <t>セイビ</t>
    </rPh>
    <rPh sb="5" eb="7">
      <t>ガッカ</t>
    </rPh>
    <phoneticPr fontId="2"/>
  </si>
  <si>
    <t>演劇スタッフ科</t>
    <rPh sb="0" eb="2">
      <t>エンゲキ</t>
    </rPh>
    <rPh sb="6" eb="7">
      <t>カ</t>
    </rPh>
    <phoneticPr fontId="2"/>
  </si>
  <si>
    <t>音響芸術科</t>
    <rPh sb="0" eb="5">
      <t>オンキョウゲイジュツカ</t>
    </rPh>
    <phoneticPr fontId="2"/>
  </si>
  <si>
    <t>東放学園専門学校</t>
    <rPh sb="0" eb="8">
      <t>トウホウガクエンセンモンガッコウ</t>
    </rPh>
    <phoneticPr fontId="2"/>
  </si>
  <si>
    <t>読売理工医療福祉専門学校</t>
    <rPh sb="0" eb="8">
      <t>ヨミウリリコウイリョウフクシ</t>
    </rPh>
    <rPh sb="8" eb="12">
      <t>センモンガッコウ</t>
    </rPh>
    <phoneticPr fontId="2"/>
  </si>
  <si>
    <t>放送映像学科</t>
    <rPh sb="0" eb="6">
      <t>ホウソウエイゾウガッカ</t>
    </rPh>
    <phoneticPr fontId="2"/>
  </si>
  <si>
    <t>TVディレクター学科</t>
    <rPh sb="8" eb="10">
      <t>ガッカ</t>
    </rPh>
    <phoneticPr fontId="2"/>
  </si>
  <si>
    <t>電気電子学科</t>
    <rPh sb="0" eb="6">
      <t>デンキデンシガッカ</t>
    </rPh>
    <phoneticPr fontId="2"/>
  </si>
  <si>
    <t>読売理工医療福祉専門学校</t>
    <rPh sb="0" eb="4">
      <t>ヨミウリリコウ</t>
    </rPh>
    <rPh sb="4" eb="8">
      <t>イリョウフクシ</t>
    </rPh>
    <rPh sb="8" eb="12">
      <t>センモンガッコウ</t>
    </rPh>
    <phoneticPr fontId="2"/>
  </si>
  <si>
    <t>４年制</t>
    <rPh sb="1" eb="3">
      <t>ネンセイ</t>
    </rPh>
    <phoneticPr fontId="2"/>
  </si>
  <si>
    <t>メディアクリエイティブ科
※2023新設</t>
    <rPh sb="11" eb="12">
      <t>カ</t>
    </rPh>
    <rPh sb="18" eb="20">
      <t>シンセツ</t>
    </rPh>
    <phoneticPr fontId="2"/>
  </si>
  <si>
    <t>映像学科
※2019までは放送学科</t>
    <rPh sb="0" eb="4">
      <t>エイゾウガッカ</t>
    </rPh>
    <rPh sb="13" eb="15">
      <t>ホウソウ</t>
    </rPh>
    <rPh sb="15" eb="17">
      <t>ガッカ</t>
    </rPh>
    <phoneticPr fontId="2"/>
  </si>
  <si>
    <t>音響芸術専門学校</t>
    <rPh sb="0" eb="8">
      <t>オンキョウゲイジュツセンモンガッコウ</t>
    </rPh>
    <phoneticPr fontId="2"/>
  </si>
  <si>
    <t>ミュージカル＆
ステージスタッフ科</t>
    <rPh sb="16" eb="17">
      <t>カ</t>
    </rPh>
    <phoneticPr fontId="2"/>
  </si>
  <si>
    <t>ミュージック
アーティスト科</t>
    <rPh sb="13" eb="14">
      <t>カ</t>
    </rPh>
    <phoneticPr fontId="2"/>
  </si>
  <si>
    <t>ダンスパフォーマンス科</t>
    <rPh sb="10" eb="11">
      <t>カ</t>
    </rPh>
    <phoneticPr fontId="2"/>
  </si>
  <si>
    <t>音楽総合アカデミー学科
（ヴォーカル）</t>
    <rPh sb="0" eb="4">
      <t>オンガクソウゴウ</t>
    </rPh>
    <rPh sb="9" eb="11">
      <t>ガッカ</t>
    </rPh>
    <phoneticPr fontId="2"/>
  </si>
  <si>
    <t>音楽総合アカデミー学科
（アレンジ・作曲）</t>
    <rPh sb="0" eb="4">
      <t>オンガクソウゴウ</t>
    </rPh>
    <rPh sb="9" eb="11">
      <t>ガッカ</t>
    </rPh>
    <rPh sb="18" eb="20">
      <t>サッキョク</t>
    </rPh>
    <phoneticPr fontId="2"/>
  </si>
  <si>
    <t>ヴォーカル学科</t>
    <rPh sb="5" eb="7">
      <t>ガッカ</t>
    </rPh>
    <phoneticPr fontId="2"/>
  </si>
  <si>
    <t>プロミュージシャン学科</t>
    <rPh sb="9" eb="11">
      <t>ガッカ</t>
    </rPh>
    <phoneticPr fontId="2"/>
  </si>
  <si>
    <t>アレンジ・作曲学科</t>
    <rPh sb="5" eb="9">
      <t>サッキョクガッカ</t>
    </rPh>
    <phoneticPr fontId="2"/>
  </si>
  <si>
    <t>ミュージカル学科</t>
    <rPh sb="6" eb="8">
      <t>ガッカ</t>
    </rPh>
    <phoneticPr fontId="2"/>
  </si>
  <si>
    <t>声優芸能科</t>
    <rPh sb="0" eb="5">
      <t>セイユウゲイノウカ</t>
    </rPh>
    <phoneticPr fontId="2"/>
  </si>
  <si>
    <t>横浜ミュージックスクール</t>
    <rPh sb="0" eb="2">
      <t>ヨコハマ</t>
    </rPh>
    <phoneticPr fontId="2"/>
  </si>
  <si>
    <t>ダンス＆アクターズ科</t>
    <rPh sb="9" eb="10">
      <t>カ</t>
    </rPh>
    <phoneticPr fontId="2"/>
  </si>
  <si>
    <r>
      <t xml:space="preserve">東京スクールオブ
ミュージック＆ダンス
</t>
    </r>
    <r>
      <rPr>
        <sz val="10"/>
        <rFont val="メイリオ"/>
        <family val="3"/>
        <charset val="128"/>
      </rPr>
      <t>※基本ごちゃまぜ学科なので
　一部だけ記載</t>
    </r>
    <rPh sb="0" eb="2">
      <t>トウキョウ</t>
    </rPh>
    <rPh sb="21" eb="23">
      <t>キホン</t>
    </rPh>
    <rPh sb="28" eb="30">
      <t>ガッカ</t>
    </rPh>
    <rPh sb="35" eb="37">
      <t>イチブ</t>
    </rPh>
    <rPh sb="39" eb="41">
      <t>キサイ</t>
    </rPh>
    <phoneticPr fontId="2"/>
  </si>
  <si>
    <t>東京アナウンス学院</t>
    <rPh sb="0" eb="2">
      <t>トウキョウ</t>
    </rPh>
    <rPh sb="7" eb="9">
      <t>ガクイン</t>
    </rPh>
    <phoneticPr fontId="2"/>
  </si>
  <si>
    <t>放送声優科</t>
    <rPh sb="0" eb="4">
      <t>ホウソウセイユウ</t>
    </rPh>
    <rPh sb="4" eb="5">
      <t>カ</t>
    </rPh>
    <phoneticPr fontId="2"/>
  </si>
  <si>
    <t>声優演劇科</t>
    <rPh sb="0" eb="5">
      <t>セイユウエンゲキカ</t>
    </rPh>
    <phoneticPr fontId="2"/>
  </si>
  <si>
    <t>コンサート・イベント科</t>
    <rPh sb="10" eb="11">
      <t>カ</t>
    </rPh>
    <phoneticPr fontId="2"/>
  </si>
  <si>
    <t>音響・映像・照明学科</t>
    <rPh sb="0" eb="2">
      <t>オンキョウ</t>
    </rPh>
    <rPh sb="3" eb="5">
      <t>エイゾウ</t>
    </rPh>
    <rPh sb="6" eb="10">
      <t>ショウメイガッカ</t>
    </rPh>
    <phoneticPr fontId="2"/>
  </si>
  <si>
    <t>ミュージックビジネス学科</t>
    <rPh sb="10" eb="12">
      <t>ガッカ</t>
    </rPh>
    <phoneticPr fontId="2"/>
  </si>
  <si>
    <t>音楽総合学科
（スタッフ系も含む）</t>
    <rPh sb="0" eb="6">
      <t>オンガクソウゴウガッカ</t>
    </rPh>
    <rPh sb="12" eb="13">
      <t>ケイ</t>
    </rPh>
    <rPh sb="14" eb="15">
      <t>フク</t>
    </rPh>
    <phoneticPr fontId="2"/>
  </si>
  <si>
    <t>音楽総合学科
（プレーヤー系も含む）</t>
    <rPh sb="0" eb="6">
      <t>オンガクソウゴウガッカ</t>
    </rPh>
    <rPh sb="13" eb="14">
      <t>ケイ</t>
    </rPh>
    <rPh sb="15" eb="16">
      <t>フク</t>
    </rPh>
    <phoneticPr fontId="2"/>
  </si>
  <si>
    <t>音響テクニカル
アーティスト科</t>
    <rPh sb="0" eb="2">
      <t>オンキョウ</t>
    </rPh>
    <rPh sb="14" eb="15">
      <t>カ</t>
    </rPh>
    <phoneticPr fontId="2"/>
  </si>
  <si>
    <t>録音・PA芸術科</t>
    <rPh sb="0" eb="2">
      <t>ロクオン</t>
    </rPh>
    <rPh sb="5" eb="8">
      <t>ゲイジュツカ</t>
    </rPh>
    <phoneticPr fontId="2"/>
  </si>
  <si>
    <t>ライブ音響・
コンサートスタッフ科</t>
    <rPh sb="3" eb="5">
      <t>オンキョウ</t>
    </rPh>
    <rPh sb="16" eb="17">
      <t>カ</t>
    </rPh>
    <phoneticPr fontId="2"/>
  </si>
  <si>
    <t>音響監督・
ビジュアルアート制作科</t>
    <rPh sb="0" eb="4">
      <t>オンキョウカントク</t>
    </rPh>
    <rPh sb="14" eb="16">
      <t>セイサク</t>
    </rPh>
    <rPh sb="16" eb="17">
      <t>カ</t>
    </rPh>
    <phoneticPr fontId="2"/>
  </si>
  <si>
    <t>東放学園音響専門学校</t>
    <rPh sb="0" eb="4">
      <t>トウホウガクエン</t>
    </rPh>
    <rPh sb="4" eb="10">
      <t>オンキョウセンモンガッコウ</t>
    </rPh>
    <phoneticPr fontId="2"/>
  </si>
  <si>
    <t>音響技術科</t>
    <rPh sb="0" eb="5">
      <t>オンキョウギジュツカ</t>
    </rPh>
    <phoneticPr fontId="2"/>
  </si>
  <si>
    <t>東放学園映画アニメCG
専門学校</t>
    <rPh sb="0" eb="4">
      <t>トウホウガクエン</t>
    </rPh>
    <rPh sb="4" eb="6">
      <t>エイガ</t>
    </rPh>
    <rPh sb="12" eb="16">
      <t>センモンガッコウ</t>
    </rPh>
    <phoneticPr fontId="2"/>
  </si>
  <si>
    <t>読売理工医療福祉
専門学校</t>
    <rPh sb="0" eb="8">
      <t>ヨミウリリコウイリョウフクシ</t>
    </rPh>
    <rPh sb="9" eb="13">
      <t>センモンガッコウ</t>
    </rPh>
    <phoneticPr fontId="2"/>
  </si>
  <si>
    <t>プロモーション映像科</t>
    <phoneticPr fontId="2"/>
  </si>
  <si>
    <t>映画制作科</t>
    <rPh sb="0" eb="4">
      <t>エイガセイサク</t>
    </rPh>
    <rPh sb="4" eb="5">
      <t>カ</t>
    </rPh>
    <phoneticPr fontId="2"/>
  </si>
  <si>
    <t>東京情報クリエイター
工学院専門学校</t>
    <rPh sb="0" eb="4">
      <t>トウキョウジョウホウ</t>
    </rPh>
    <rPh sb="11" eb="14">
      <t>コウガクイン</t>
    </rPh>
    <rPh sb="14" eb="18">
      <t>センモンガッコウ</t>
    </rPh>
    <phoneticPr fontId="2"/>
  </si>
  <si>
    <t>東京デザイナー・
アカデミー</t>
    <rPh sb="0" eb="2">
      <t>トウキョウ</t>
    </rPh>
    <phoneticPr fontId="2"/>
  </si>
  <si>
    <t>町田デザイン＆
建築専門学校</t>
    <rPh sb="0" eb="2">
      <t>マチダ</t>
    </rPh>
    <rPh sb="8" eb="10">
      <t>ケンチク</t>
    </rPh>
    <rPh sb="10" eb="14">
      <t>センモンガッコウ</t>
    </rPh>
    <phoneticPr fontId="2"/>
  </si>
  <si>
    <t>CG・デザイン・
アニメ4年制（CG映像）</t>
    <rPh sb="13" eb="15">
      <t>ネンセイ</t>
    </rPh>
    <rPh sb="18" eb="20">
      <t>エイゾウ</t>
    </rPh>
    <phoneticPr fontId="2"/>
  </si>
  <si>
    <t>コンピュータ
グラフィックス科</t>
    <rPh sb="13" eb="14">
      <t>カ</t>
    </rPh>
    <phoneticPr fontId="2"/>
  </si>
  <si>
    <t>コンピュータ
グラフィックス研究科</t>
    <rPh sb="14" eb="16">
      <t>ケンキュウ</t>
    </rPh>
    <rPh sb="16" eb="17">
      <t>カ</t>
    </rPh>
    <phoneticPr fontId="2"/>
  </si>
  <si>
    <t>Web・
CGアニメーション科</t>
    <rPh sb="14" eb="15">
      <t>カ</t>
    </rPh>
    <phoneticPr fontId="2"/>
  </si>
  <si>
    <t>東京コミュニケーション
アート</t>
    <rPh sb="0" eb="2">
      <t>トウキョウ</t>
    </rPh>
    <phoneticPr fontId="2"/>
  </si>
  <si>
    <t>クリエーティブデザイン科
（昼一）</t>
    <rPh sb="11" eb="12">
      <t>カ</t>
    </rPh>
    <rPh sb="14" eb="15">
      <t>ヒル</t>
    </rPh>
    <rPh sb="15" eb="16">
      <t>イチ</t>
    </rPh>
    <phoneticPr fontId="2"/>
  </si>
  <si>
    <t>クリエーティブデザイン科
（昼二）</t>
    <rPh sb="11" eb="12">
      <t>カ</t>
    </rPh>
    <rPh sb="14" eb="15">
      <t>ヒル</t>
    </rPh>
    <rPh sb="15" eb="16">
      <t>ニ</t>
    </rPh>
    <phoneticPr fontId="2"/>
  </si>
  <si>
    <t>eエンターテイメント科
（昼一）</t>
    <rPh sb="10" eb="11">
      <t>カ</t>
    </rPh>
    <rPh sb="13" eb="14">
      <t>ヒル</t>
    </rPh>
    <rPh sb="14" eb="15">
      <t>イチ</t>
    </rPh>
    <phoneticPr fontId="2"/>
  </si>
  <si>
    <t>eエンターテイメント科
（昼二）</t>
    <rPh sb="10" eb="11">
      <t>カ</t>
    </rPh>
    <rPh sb="13" eb="14">
      <t>ヒル</t>
    </rPh>
    <rPh sb="14" eb="15">
      <t>ニ</t>
    </rPh>
    <phoneticPr fontId="2"/>
  </si>
  <si>
    <t>スーパークリエイター科
（昼一）</t>
    <rPh sb="10" eb="11">
      <t>カ</t>
    </rPh>
    <rPh sb="13" eb="14">
      <t>ヒル</t>
    </rPh>
    <rPh sb="14" eb="15">
      <t>イチ</t>
    </rPh>
    <phoneticPr fontId="2"/>
  </si>
  <si>
    <t>スーパークリエイター科
（昼二）</t>
    <rPh sb="10" eb="11">
      <t>カ</t>
    </rPh>
    <rPh sb="13" eb="14">
      <t>ヒル</t>
    </rPh>
    <rPh sb="14" eb="15">
      <t>ニ</t>
    </rPh>
    <phoneticPr fontId="2"/>
  </si>
  <si>
    <t>スーパーIT科（昼一）</t>
    <rPh sb="6" eb="7">
      <t>カ</t>
    </rPh>
    <rPh sb="8" eb="9">
      <t>ヒル</t>
    </rPh>
    <rPh sb="9" eb="10">
      <t>イチ</t>
    </rPh>
    <phoneticPr fontId="2"/>
  </si>
  <si>
    <t>スーパーIT科（昼二）</t>
    <rPh sb="6" eb="7">
      <t>カ</t>
    </rPh>
    <rPh sb="8" eb="9">
      <t>ヒル</t>
    </rPh>
    <rPh sb="9" eb="10">
      <t>ニ</t>
    </rPh>
    <phoneticPr fontId="2"/>
  </si>
  <si>
    <t>IT・デザイン科（昼一）</t>
    <rPh sb="7" eb="8">
      <t>カ</t>
    </rPh>
    <rPh sb="9" eb="10">
      <t>ヒル</t>
    </rPh>
    <rPh sb="10" eb="11">
      <t>イチ</t>
    </rPh>
    <phoneticPr fontId="2"/>
  </si>
  <si>
    <t>IT・デザイン科（昼二）</t>
    <rPh sb="7" eb="8">
      <t>カ</t>
    </rPh>
    <rPh sb="9" eb="10">
      <t>ヒル</t>
    </rPh>
    <rPh sb="10" eb="11">
      <t>ニ</t>
    </rPh>
    <phoneticPr fontId="2"/>
  </si>
  <si>
    <t>アニメ
ゲーム
CG映像</t>
    <rPh sb="10" eb="12">
      <t>エイゾウ</t>
    </rPh>
    <phoneticPr fontId="2"/>
  </si>
  <si>
    <t>グラフィックデザイン
マンガ
コミックイラスト
シナリオ・作家</t>
    <rPh sb="29" eb="31">
      <t>サッカ</t>
    </rPh>
    <phoneticPr fontId="2"/>
  </si>
  <si>
    <t>マンガ・アニメ、ゲーム、CG映像、デザイン、IT、カーデザイン</t>
    <rPh sb="14" eb="16">
      <t>エイゾウ</t>
    </rPh>
    <phoneticPr fontId="2"/>
  </si>
  <si>
    <t>ゲーム、esports、IT・AI、ロボット、CG映像、コミックイラスト、アニメ</t>
    <rPh sb="25" eb="27">
      <t>エイゾウ</t>
    </rPh>
    <phoneticPr fontId="2"/>
  </si>
  <si>
    <t>ゲーム、esports、IT・AI、CG映像、コミックイラスト、アニメ</t>
    <rPh sb="20" eb="22">
      <t>エイゾウ</t>
    </rPh>
    <phoneticPr fontId="2"/>
  </si>
  <si>
    <t>前年比</t>
    <rPh sb="0" eb="3">
      <t>ゼンネンヒ</t>
    </rPh>
    <phoneticPr fontId="2"/>
  </si>
  <si>
    <t>留学生
比率</t>
    <rPh sb="0" eb="3">
      <t>リュウガクセイ</t>
    </rPh>
    <rPh sb="4" eb="6">
      <t>ヒリツ</t>
    </rPh>
    <phoneticPr fontId="2"/>
  </si>
  <si>
    <t>在籍数</t>
    <rPh sb="0" eb="3">
      <t>ザイセキスウ</t>
    </rPh>
    <phoneticPr fontId="2"/>
  </si>
  <si>
    <t>留学生</t>
    <rPh sb="0" eb="3">
      <t>リュウガクセイ</t>
    </rPh>
    <phoneticPr fontId="2"/>
  </si>
  <si>
    <t>東京町田情報ITクリエター専門学校</t>
    <rPh sb="0" eb="4">
      <t>トウキョウマチダ</t>
    </rPh>
    <rPh sb="4" eb="6">
      <t>ジョウホウ</t>
    </rPh>
    <rPh sb="13" eb="17">
      <t>センモンガッコウ</t>
    </rPh>
    <phoneticPr fontId="2"/>
  </si>
  <si>
    <t>東京アニメ・声優＆
eスポーツ専門学校</t>
    <rPh sb="0" eb="2">
      <t>トウキョウ</t>
    </rPh>
    <rPh sb="6" eb="8">
      <t>セイユウ</t>
    </rPh>
    <rPh sb="15" eb="19">
      <t>センモンガッコウ</t>
    </rPh>
    <phoneticPr fontId="2"/>
  </si>
  <si>
    <t>スーパーテクノロジー科
（昼一）</t>
    <rPh sb="10" eb="11">
      <t>カ</t>
    </rPh>
    <rPh sb="13" eb="14">
      <t>ヒル</t>
    </rPh>
    <rPh sb="14" eb="15">
      <t>イチ</t>
    </rPh>
    <phoneticPr fontId="2"/>
  </si>
  <si>
    <t>スーパーテクノロジー科
（昼一）</t>
    <rPh sb="10" eb="11">
      <t>カ</t>
    </rPh>
    <rPh sb="13" eb="15">
      <t>ヒルイチ</t>
    </rPh>
    <phoneticPr fontId="2"/>
  </si>
  <si>
    <t>スーパーテクノロジー科
（昼二）</t>
    <rPh sb="10" eb="11">
      <t>カ</t>
    </rPh>
    <rPh sb="13" eb="14">
      <t>ヒル</t>
    </rPh>
    <rPh sb="14" eb="15">
      <t>ニ</t>
    </rPh>
    <phoneticPr fontId="2"/>
  </si>
  <si>
    <t>声優、芸能スタッフ、動画制作、Vtuber、アニメ、eスポーツ</t>
    <rPh sb="0" eb="2">
      <t>セイユウ</t>
    </rPh>
    <rPh sb="3" eb="5">
      <t>ゲイノウ</t>
    </rPh>
    <rPh sb="10" eb="14">
      <t>ドウガセイサク</t>
    </rPh>
    <phoneticPr fontId="2"/>
  </si>
  <si>
    <t>2024年度より高等教育無償化対象校から外れる</t>
    <rPh sb="4" eb="6">
      <t>ネンド</t>
    </rPh>
    <rPh sb="8" eb="12">
      <t>コウトウキョウイク</t>
    </rPh>
    <rPh sb="12" eb="15">
      <t>ムショウカ</t>
    </rPh>
    <rPh sb="15" eb="18">
      <t>タイショウコウ</t>
    </rPh>
    <rPh sb="20" eb="21">
      <t>ハズ</t>
    </rPh>
    <phoneticPr fontId="2"/>
  </si>
  <si>
    <t>町田デザイン＆建築専門学校</t>
    <rPh sb="0" eb="2">
      <t>マチダ</t>
    </rPh>
    <rPh sb="7" eb="9">
      <t>ケンチク</t>
    </rPh>
    <rPh sb="9" eb="13">
      <t>センモンガッコウ</t>
    </rPh>
    <phoneticPr fontId="2"/>
  </si>
  <si>
    <t>建築デザイン科</t>
    <phoneticPr fontId="2"/>
  </si>
  <si>
    <t>町田デザイン＆建築専門学校</t>
    <rPh sb="0" eb="2">
      <t>マチダ</t>
    </rPh>
    <rPh sb="7" eb="13">
      <t>ケンチクセンモンガッコウ</t>
    </rPh>
    <phoneticPr fontId="2"/>
  </si>
  <si>
    <t>コミックイラスト・マンガ科</t>
    <rPh sb="12" eb="13">
      <t>カ</t>
    </rPh>
    <phoneticPr fontId="2"/>
  </si>
  <si>
    <t>情報セキュリティ学科</t>
    <rPh sb="0" eb="2">
      <t>ジョウホウ</t>
    </rPh>
    <rPh sb="8" eb="10">
      <t>ガッカ</t>
    </rPh>
    <phoneticPr fontId="2"/>
  </si>
  <si>
    <t>実践AI科</t>
    <rPh sb="0" eb="2">
      <t>ジッセン</t>
    </rPh>
    <rPh sb="4" eb="5">
      <t>カ</t>
    </rPh>
    <phoneticPr fontId="2"/>
  </si>
  <si>
    <t>先端ITシステム科</t>
    <rPh sb="0" eb="2">
      <t>センタン</t>
    </rPh>
    <rPh sb="8" eb="9">
      <t>カ</t>
    </rPh>
    <phoneticPr fontId="2"/>
  </si>
  <si>
    <t>Web技術科</t>
    <rPh sb="3" eb="6">
      <t>ギジュツカ</t>
    </rPh>
    <phoneticPr fontId="2"/>
  </si>
  <si>
    <t>実践IoT科</t>
    <rPh sb="0" eb="2">
      <t>ジッセン</t>
    </rPh>
    <rPh sb="5" eb="6">
      <t>カ</t>
    </rPh>
    <phoneticPr fontId="2"/>
  </si>
  <si>
    <t>情報処理科</t>
    <rPh sb="0" eb="2">
      <t>ジョウホウ</t>
    </rPh>
    <rPh sb="2" eb="5">
      <t>ショリカ</t>
    </rPh>
    <phoneticPr fontId="2"/>
  </si>
  <si>
    <t>情報処理科3年制</t>
    <rPh sb="0" eb="5">
      <t>ジョウホウショリカ</t>
    </rPh>
    <rPh sb="6" eb="8">
      <t>ネンセイ</t>
    </rPh>
    <phoneticPr fontId="2"/>
  </si>
  <si>
    <t>高度情報システム科</t>
    <rPh sb="0" eb="2">
      <t>コウド</t>
    </rPh>
    <rPh sb="2" eb="4">
      <t>ジョウホウ</t>
    </rPh>
    <rPh sb="8" eb="9">
      <t>カ</t>
    </rPh>
    <phoneticPr fontId="2"/>
  </si>
  <si>
    <t>セキュリティ・ネットワーク科</t>
    <rPh sb="13" eb="14">
      <t>カ</t>
    </rPh>
    <phoneticPr fontId="2"/>
  </si>
  <si>
    <t>ITエンジニア科</t>
    <rPh sb="7" eb="8">
      <t>カ</t>
    </rPh>
    <phoneticPr fontId="2"/>
  </si>
  <si>
    <t>ITエンジニア科4年制</t>
    <rPh sb="7" eb="8">
      <t>カ</t>
    </rPh>
    <rPh sb="9" eb="11">
      <t>ネンセイ</t>
    </rPh>
    <phoneticPr fontId="2"/>
  </si>
  <si>
    <t>情報ネットワーク科</t>
    <rPh sb="0" eb="2">
      <t>ジョウホウ</t>
    </rPh>
    <rPh sb="8" eb="9">
      <t>カ</t>
    </rPh>
    <phoneticPr fontId="2"/>
  </si>
  <si>
    <t>ITビジネス科</t>
    <rPh sb="6" eb="7">
      <t>カ</t>
    </rPh>
    <phoneticPr fontId="2"/>
  </si>
  <si>
    <t>ビジネス科</t>
    <rPh sb="4" eb="5">
      <t>カ</t>
    </rPh>
    <phoneticPr fontId="2"/>
  </si>
  <si>
    <t>東京池袋情報ITクリエイター
専門学校</t>
    <rPh sb="0" eb="4">
      <t>トウキョウイケブクロ</t>
    </rPh>
    <rPh sb="4" eb="6">
      <t>ジョウホウ</t>
    </rPh>
    <rPh sb="15" eb="19">
      <t>センモンガッコウ</t>
    </rPh>
    <phoneticPr fontId="2"/>
  </si>
  <si>
    <t>東京町田情報ITクリエイター
専門学校</t>
    <rPh sb="0" eb="2">
      <t>トウキョウ</t>
    </rPh>
    <rPh sb="2" eb="4">
      <t>マチダ</t>
    </rPh>
    <rPh sb="4" eb="6">
      <t>ジョウホウ</t>
    </rPh>
    <rPh sb="15" eb="19">
      <t>センモンガッコウ</t>
    </rPh>
    <phoneticPr fontId="2"/>
  </si>
  <si>
    <t>東京立川情報ITクリエイター
専門学校</t>
    <rPh sb="0" eb="2">
      <t>トウキョウ</t>
    </rPh>
    <rPh sb="2" eb="4">
      <t>タチカワ</t>
    </rPh>
    <rPh sb="4" eb="6">
      <t>ジョウホウ</t>
    </rPh>
    <rPh sb="15" eb="19">
      <t>センモンガッコウ</t>
    </rPh>
    <phoneticPr fontId="2"/>
  </si>
  <si>
    <t>建築インテリア工学科</t>
    <rPh sb="0" eb="2">
      <t>ケンチク</t>
    </rPh>
    <rPh sb="7" eb="10">
      <t>コウガクカ</t>
    </rPh>
    <phoneticPr fontId="2"/>
  </si>
  <si>
    <t>商空間デザイン科</t>
    <rPh sb="0" eb="3">
      <t>ショウクウカン</t>
    </rPh>
    <rPh sb="7" eb="8">
      <t>カ</t>
    </rPh>
    <phoneticPr fontId="2"/>
  </si>
  <si>
    <t>建築インテリア
デザイン科</t>
    <rPh sb="12" eb="13">
      <t>カ</t>
    </rPh>
    <phoneticPr fontId="2"/>
  </si>
  <si>
    <t>機械設計科</t>
    <rPh sb="0" eb="4">
      <t>キカイセッケイ</t>
    </rPh>
    <rPh sb="4" eb="5">
      <t>カ</t>
    </rPh>
    <phoneticPr fontId="2"/>
  </si>
  <si>
    <t>ロボット科</t>
    <rPh sb="4" eb="5">
      <t>カ</t>
    </rPh>
    <phoneticPr fontId="2"/>
  </si>
  <si>
    <t>情報ビジネス科</t>
    <rPh sb="0" eb="2">
      <t>ジョウホウ</t>
    </rPh>
    <rPh sb="6" eb="7">
      <t>カ</t>
    </rPh>
    <phoneticPr fontId="2"/>
  </si>
  <si>
    <t>３DCAD設計科</t>
    <rPh sb="5" eb="8">
      <t>セッケイカ</t>
    </rPh>
    <phoneticPr fontId="2"/>
  </si>
  <si>
    <t>スポーツトレーナー科3年制</t>
    <rPh sb="9" eb="10">
      <t>カ</t>
    </rPh>
    <rPh sb="11" eb="13">
      <t>ネンセイ</t>
    </rPh>
    <phoneticPr fontId="2"/>
  </si>
  <si>
    <t>スポーツ健康学科3年制</t>
    <rPh sb="4" eb="8">
      <t>ケンコウガッカ</t>
    </rPh>
    <rPh sb="9" eb="11">
      <t>ネンセイ</t>
    </rPh>
    <phoneticPr fontId="2"/>
  </si>
  <si>
    <t>スポーツトレーナー科</t>
    <rPh sb="9" eb="10">
      <t>カ</t>
    </rPh>
    <phoneticPr fontId="2"/>
  </si>
  <si>
    <t>スポーツ健康学科</t>
    <rPh sb="4" eb="8">
      <t>ケンコウガッカ</t>
    </rPh>
    <phoneticPr fontId="2"/>
  </si>
  <si>
    <t>東京スポーツ・
レクリエーション専門学校</t>
    <rPh sb="0" eb="2">
      <t>トウキョウ</t>
    </rPh>
    <rPh sb="16" eb="20">
      <t>センモンガッコウ</t>
    </rPh>
    <phoneticPr fontId="2"/>
  </si>
  <si>
    <t>東京リゾート＆
スポーツ専門学校</t>
    <rPh sb="0" eb="2">
      <t>トウキョウ</t>
    </rPh>
    <rPh sb="12" eb="16">
      <t>センモンガッコウ</t>
    </rPh>
    <phoneticPr fontId="2"/>
  </si>
  <si>
    <t>横浜リゾート＆
スポーツ専門学校</t>
    <rPh sb="0" eb="2">
      <t>ヨコハマ</t>
    </rPh>
    <rPh sb="12" eb="16">
      <t>センモンガッコウ</t>
    </rPh>
    <phoneticPr fontId="2"/>
  </si>
  <si>
    <t>アスレティックトレーナー科</t>
    <rPh sb="12" eb="13">
      <t>カ</t>
    </rPh>
    <phoneticPr fontId="2"/>
  </si>
  <si>
    <t>スポーツインストラクター科</t>
    <rPh sb="12" eb="13">
      <t>カ</t>
    </rPh>
    <phoneticPr fontId="2"/>
  </si>
  <si>
    <t>スポーツビジネス科</t>
    <rPh sb="8" eb="9">
      <t>カ</t>
    </rPh>
    <phoneticPr fontId="2"/>
  </si>
  <si>
    <t>スポーツ＆アクティビティ科</t>
    <rPh sb="12" eb="13">
      <t>カ</t>
    </rPh>
    <phoneticPr fontId="2"/>
  </si>
  <si>
    <t>建築設備設計科</t>
    <rPh sb="0" eb="4">
      <t>ケンチクセツビ</t>
    </rPh>
    <rPh sb="4" eb="7">
      <t>セッケイカ</t>
    </rPh>
    <phoneticPr fontId="2"/>
  </si>
  <si>
    <t>建築室内設計科</t>
    <rPh sb="0" eb="4">
      <t>ケンチクシツナイ</t>
    </rPh>
    <rPh sb="4" eb="7">
      <t>セッケイカ</t>
    </rPh>
    <phoneticPr fontId="2"/>
  </si>
  <si>
    <t>鍼灸科</t>
    <rPh sb="0" eb="3">
      <t>シンキュウカ</t>
    </rPh>
    <phoneticPr fontId="2"/>
  </si>
  <si>
    <t>柔道整復科</t>
    <rPh sb="0" eb="5">
      <t>ジュウドウセイフクカ</t>
    </rPh>
    <phoneticPr fontId="2"/>
  </si>
  <si>
    <t>新宿医療専門学校</t>
    <rPh sb="0" eb="2">
      <t>シンジュク</t>
    </rPh>
    <rPh sb="2" eb="4">
      <t>イリョウ</t>
    </rPh>
    <rPh sb="4" eb="8">
      <t>センモンガッコウ</t>
    </rPh>
    <phoneticPr fontId="2"/>
  </si>
  <si>
    <t>日本医学柔整鍼灸専門学校</t>
    <rPh sb="0" eb="8">
      <t>ニホンイガクジュウセイシンキュウ</t>
    </rPh>
    <rPh sb="8" eb="12">
      <t>センモンガッコウ</t>
    </rPh>
    <phoneticPr fontId="2"/>
  </si>
  <si>
    <t>鍼灸学科（午前部）</t>
    <rPh sb="0" eb="4">
      <t>シンキュウガッカ</t>
    </rPh>
    <rPh sb="5" eb="8">
      <t>ゴゼンブ</t>
    </rPh>
    <phoneticPr fontId="2"/>
  </si>
  <si>
    <t>鍼灸学科（午後部）</t>
    <rPh sb="0" eb="4">
      <t>シンキュウガッカ</t>
    </rPh>
    <rPh sb="5" eb="8">
      <t>ゴゴブ</t>
    </rPh>
    <phoneticPr fontId="2"/>
  </si>
  <si>
    <t>柔道整復学科</t>
    <rPh sb="0" eb="6">
      <t>ジュウドウセイフクガッカ</t>
    </rPh>
    <phoneticPr fontId="2"/>
  </si>
  <si>
    <t>鍼灸学科</t>
    <rPh sb="0" eb="4">
      <t>シンキュウガッカ</t>
    </rPh>
    <phoneticPr fontId="2"/>
  </si>
  <si>
    <t>鍼灸師科（午前）</t>
    <rPh sb="0" eb="3">
      <t>シンキュウシ</t>
    </rPh>
    <rPh sb="3" eb="4">
      <t>カ</t>
    </rPh>
    <rPh sb="5" eb="7">
      <t>ゴゼン</t>
    </rPh>
    <phoneticPr fontId="2"/>
  </si>
  <si>
    <t>鍼灸師科（午後）</t>
    <rPh sb="0" eb="4">
      <t>シンキュウシカ</t>
    </rPh>
    <rPh sb="5" eb="7">
      <t>ゴゴ</t>
    </rPh>
    <phoneticPr fontId="2"/>
  </si>
  <si>
    <t>柔道整復師科（午前）</t>
    <rPh sb="0" eb="5">
      <t>ジュウドウセイフクシ</t>
    </rPh>
    <rPh sb="5" eb="6">
      <t>カ</t>
    </rPh>
    <rPh sb="7" eb="9">
      <t>ゴゼン</t>
    </rPh>
    <phoneticPr fontId="2"/>
  </si>
  <si>
    <t>柔道整復師科（午後）</t>
    <rPh sb="0" eb="5">
      <t>ジュウドウセイフクシ</t>
    </rPh>
    <rPh sb="5" eb="6">
      <t>カ</t>
    </rPh>
    <rPh sb="7" eb="9">
      <t>ゴゴ</t>
    </rPh>
    <phoneticPr fontId="2"/>
  </si>
  <si>
    <t>東京メディカル・
スポーツ専門学校</t>
    <rPh sb="0" eb="2">
      <t>トウキョウ</t>
    </rPh>
    <rPh sb="13" eb="17">
      <t>センモンガッコウ</t>
    </rPh>
    <phoneticPr fontId="2"/>
  </si>
  <si>
    <t>日本電子専門学校</t>
    <rPh sb="0" eb="4">
      <t>ニホンデンシ</t>
    </rPh>
    <rPh sb="4" eb="8">
      <t>センモンガッコウ</t>
    </rPh>
    <phoneticPr fontId="2"/>
  </si>
  <si>
    <t>中央工学校</t>
    <rPh sb="0" eb="3">
      <t>チュウオウコウ</t>
    </rPh>
    <rPh sb="3" eb="5">
      <t>ガッコウ</t>
    </rPh>
    <phoneticPr fontId="2"/>
  </si>
  <si>
    <t>横浜デジタルアーツ
専門学校</t>
    <rPh sb="0" eb="2">
      <t>ヨコハマ</t>
    </rPh>
    <rPh sb="10" eb="14">
      <t>センモンガッコウ</t>
    </rPh>
    <phoneticPr fontId="2"/>
  </si>
  <si>
    <t>東京自動車大学校</t>
    <rPh sb="0" eb="5">
      <t>トウキョウジドウシャ</t>
    </rPh>
    <rPh sb="5" eb="8">
      <t>ダイガッコウ</t>
    </rPh>
    <phoneticPr fontId="2"/>
  </si>
  <si>
    <t>トヨタ東京自動車大学校</t>
    <rPh sb="3" eb="8">
      <t>トウキョウジドウシャ</t>
    </rPh>
    <rPh sb="8" eb="11">
      <t>ダイガッコウ</t>
    </rPh>
    <phoneticPr fontId="2"/>
  </si>
  <si>
    <t>東京工科自動車大学校
（中野・世田谷・品川合算）</t>
    <rPh sb="0" eb="4">
      <t>トウキョウコウカ</t>
    </rPh>
    <rPh sb="4" eb="7">
      <t>ジドウシャ</t>
    </rPh>
    <rPh sb="7" eb="10">
      <t>ダイガッコウ</t>
    </rPh>
    <rPh sb="12" eb="14">
      <t>ナカノ</t>
    </rPh>
    <rPh sb="15" eb="18">
      <t>セタガヤ</t>
    </rPh>
    <rPh sb="19" eb="21">
      <t>シナガワ</t>
    </rPh>
    <rPh sb="21" eb="23">
      <t>ガッサン</t>
    </rPh>
    <phoneticPr fontId="2"/>
  </si>
  <si>
    <t>東京コミュニケーションアート</t>
    <rPh sb="0" eb="2">
      <t>トウキョウ</t>
    </rPh>
    <phoneticPr fontId="2"/>
  </si>
  <si>
    <t>東京スポーツ・
レクリエーション</t>
    <rPh sb="0" eb="2">
      <t>トウキョウ</t>
    </rPh>
    <phoneticPr fontId="2"/>
  </si>
  <si>
    <t>日本ホテルスクール</t>
    <rPh sb="0" eb="2">
      <t>ニホン</t>
    </rPh>
    <phoneticPr fontId="2"/>
  </si>
  <si>
    <t>YMCA国際ホテル専門学校</t>
    <rPh sb="4" eb="6">
      <t>コクサイ</t>
    </rPh>
    <rPh sb="9" eb="13">
      <t>センモンガッコウ</t>
    </rPh>
    <phoneticPr fontId="2"/>
  </si>
  <si>
    <t>東洋美術学校</t>
    <rPh sb="0" eb="4">
      <t>トウヨウビジュツ</t>
    </rPh>
    <rPh sb="4" eb="6">
      <t>ガッコウ</t>
    </rPh>
    <phoneticPr fontId="2"/>
  </si>
  <si>
    <t>東京スクールオブミュージック（葛西・澁谷合算）</t>
    <rPh sb="0" eb="2">
      <t>トウキョウ</t>
    </rPh>
    <rPh sb="15" eb="17">
      <t>カサイ</t>
    </rPh>
    <rPh sb="18" eb="20">
      <t>シブヤ</t>
    </rPh>
    <rPh sb="20" eb="22">
      <t>ガッサン</t>
    </rPh>
    <phoneticPr fontId="2"/>
  </si>
  <si>
    <r>
      <rPr>
        <b/>
        <sz val="10"/>
        <rFont val="メイリオ"/>
        <family val="3"/>
        <charset val="128"/>
      </rPr>
      <t>大原情報クリエイター</t>
    </r>
    <r>
      <rPr>
        <b/>
        <sz val="8"/>
        <rFont val="メイリオ"/>
        <family val="3"/>
        <charset val="128"/>
      </rPr>
      <t>（水道橋・立川・町田・池袋・横浜・千葉合算）</t>
    </r>
    <rPh sb="0" eb="2">
      <t>オオハラ</t>
    </rPh>
    <rPh sb="2" eb="4">
      <t>ジョウホウ</t>
    </rPh>
    <rPh sb="11" eb="14">
      <t>スイドウバシ</t>
    </rPh>
    <rPh sb="15" eb="17">
      <t>タチカワ</t>
    </rPh>
    <rPh sb="18" eb="20">
      <t>マチダ</t>
    </rPh>
    <rPh sb="21" eb="23">
      <t>イケブクロ</t>
    </rPh>
    <rPh sb="24" eb="26">
      <t>ヨコハマ</t>
    </rPh>
    <rPh sb="27" eb="29">
      <t>チバ</t>
    </rPh>
    <rPh sb="29" eb="31">
      <t>ガッサン</t>
    </rPh>
    <phoneticPr fontId="2"/>
  </si>
  <si>
    <t>横浜呉竹医療専門学校</t>
    <rPh sb="0" eb="2">
      <t>ヨコハマ</t>
    </rPh>
    <rPh sb="2" eb="4">
      <t>クレタケ</t>
    </rPh>
    <rPh sb="4" eb="6">
      <t>イリョウ</t>
    </rPh>
    <rPh sb="6" eb="10">
      <t>センモンガッコウ</t>
    </rPh>
    <phoneticPr fontId="2"/>
  </si>
  <si>
    <t>鍼灸マッサージ科（午前）</t>
    <rPh sb="0" eb="2">
      <t>シンキュウ</t>
    </rPh>
    <rPh sb="7" eb="8">
      <t>カ</t>
    </rPh>
    <rPh sb="9" eb="11">
      <t>ゴゼン</t>
    </rPh>
    <phoneticPr fontId="2"/>
  </si>
  <si>
    <t>鍼灸マッサージ科（午後）</t>
    <rPh sb="0" eb="2">
      <t>シンキュウ</t>
    </rPh>
    <rPh sb="7" eb="8">
      <t>カ</t>
    </rPh>
    <rPh sb="9" eb="11">
      <t>ゴゴ</t>
    </rPh>
    <phoneticPr fontId="2"/>
  </si>
  <si>
    <t>柔道整復科（午前）</t>
    <rPh sb="0" eb="5">
      <t>ジュウドウセイフクカ</t>
    </rPh>
    <rPh sb="6" eb="8">
      <t>ゴゼン</t>
    </rPh>
    <phoneticPr fontId="2"/>
  </si>
  <si>
    <t>首都医校</t>
    <rPh sb="0" eb="4">
      <t>シュトイコウ</t>
    </rPh>
    <phoneticPr fontId="2"/>
  </si>
  <si>
    <t>東京YMCA国際ホテル専門学校</t>
    <rPh sb="0" eb="2">
      <t>トウキョウ</t>
    </rPh>
    <rPh sb="6" eb="8">
      <t>コクサイ</t>
    </rPh>
    <rPh sb="11" eb="15">
      <t>センモンガッコウ</t>
    </rPh>
    <phoneticPr fontId="2"/>
  </si>
  <si>
    <t>東京ホテル・観光＆ホスピタリティ専門学校</t>
    <rPh sb="0" eb="2">
      <t>トウキョウ</t>
    </rPh>
    <rPh sb="6" eb="8">
      <t>カンコウ</t>
    </rPh>
    <rPh sb="16" eb="20">
      <t>センモンガッコウ</t>
    </rPh>
    <phoneticPr fontId="2"/>
  </si>
  <si>
    <t>ホテル科</t>
    <rPh sb="3" eb="4">
      <t>カ</t>
    </rPh>
    <phoneticPr fontId="2"/>
  </si>
  <si>
    <t>東京ホスピタリティ・
アカデミー</t>
    <rPh sb="0" eb="2">
      <t>トウキョウ</t>
    </rPh>
    <phoneticPr fontId="2"/>
  </si>
  <si>
    <t>旅行学科</t>
    <rPh sb="0" eb="4">
      <t>リョコウガッカ</t>
    </rPh>
    <phoneticPr fontId="2"/>
  </si>
  <si>
    <t>ホテル学科</t>
    <rPh sb="3" eb="5">
      <t>ガッカ</t>
    </rPh>
    <phoneticPr fontId="2"/>
  </si>
  <si>
    <t>※4年制学科合計</t>
    <rPh sb="2" eb="6">
      <t>ネンセイガッカ</t>
    </rPh>
    <rPh sb="6" eb="8">
      <t>ゴウケイ</t>
    </rPh>
    <phoneticPr fontId="2"/>
  </si>
  <si>
    <t>※3年制学科合計</t>
    <rPh sb="2" eb="6">
      <t>ネンセイガッカ</t>
    </rPh>
    <rPh sb="6" eb="8">
      <t>ゴウケイ</t>
    </rPh>
    <phoneticPr fontId="2"/>
  </si>
  <si>
    <t>東京ホテル・トラベル・
鉄道専門学校</t>
    <rPh sb="0" eb="2">
      <t>トウキョウ</t>
    </rPh>
    <rPh sb="12" eb="14">
      <t>テツドウ</t>
    </rPh>
    <rPh sb="14" eb="18">
      <t>センモンガッコウ</t>
    </rPh>
    <phoneticPr fontId="2"/>
  </si>
  <si>
    <t>ホテル観光学科（ホテル）</t>
    <rPh sb="3" eb="7">
      <t>カンコウガッカ</t>
    </rPh>
    <phoneticPr fontId="2"/>
  </si>
  <si>
    <t>ホテル観光学科（トラベル）</t>
    <rPh sb="3" eb="7">
      <t>カンコウガッカ</t>
    </rPh>
    <phoneticPr fontId="2"/>
  </si>
  <si>
    <t>東京エアトラベル・
ホテル専門学校</t>
    <rPh sb="0" eb="2">
      <t>トウキョウ</t>
    </rPh>
    <rPh sb="13" eb="17">
      <t>センモンガッコウ</t>
    </rPh>
    <phoneticPr fontId="2"/>
  </si>
  <si>
    <t>観光・ツーリズム科</t>
    <rPh sb="0" eb="2">
      <t>カンコウ</t>
    </rPh>
    <rPh sb="8" eb="9">
      <t>カ</t>
    </rPh>
    <phoneticPr fontId="2"/>
  </si>
  <si>
    <t>エアライン・鉄道・ホテル・
テーマパーク専門学校東京</t>
    <rPh sb="6" eb="8">
      <t>テツドウ</t>
    </rPh>
    <rPh sb="20" eb="24">
      <t>センモンガッコウ</t>
    </rPh>
    <rPh sb="24" eb="26">
      <t>トウキョウ</t>
    </rPh>
    <phoneticPr fontId="2"/>
  </si>
  <si>
    <t>DXスペシャリスト科</t>
    <rPh sb="9" eb="10">
      <t>カ</t>
    </rPh>
    <phoneticPr fontId="2"/>
  </si>
  <si>
    <t>船橋情報ビジネス専門学校</t>
    <rPh sb="0" eb="4">
      <t>フナバシジョウホウ</t>
    </rPh>
    <rPh sb="8" eb="12">
      <t>センモンガッコウ</t>
    </rPh>
    <phoneticPr fontId="2"/>
  </si>
  <si>
    <t>東京ITプログラミング＆
会計専門学校</t>
    <rPh sb="0" eb="2">
      <t>トウキョウ</t>
    </rPh>
    <rPh sb="13" eb="15">
      <t>カイケイ</t>
    </rPh>
    <rPh sb="15" eb="19">
      <t>センモンガッコウ</t>
    </rPh>
    <phoneticPr fontId="2"/>
  </si>
  <si>
    <t>ITビジネス学科</t>
    <rPh sb="6" eb="8">
      <t>ガッカ</t>
    </rPh>
    <phoneticPr fontId="2"/>
  </si>
  <si>
    <t>東京ITプログラミング＆
会計専門学校杉並校</t>
    <rPh sb="0" eb="2">
      <t>トウキョウ</t>
    </rPh>
    <rPh sb="13" eb="15">
      <t>カイケイ</t>
    </rPh>
    <rPh sb="15" eb="19">
      <t>センモンガッコウ</t>
    </rPh>
    <rPh sb="19" eb="21">
      <t>スギナミ</t>
    </rPh>
    <rPh sb="21" eb="22">
      <t>コウ</t>
    </rPh>
    <phoneticPr fontId="2"/>
  </si>
  <si>
    <t>横浜公務員＆IT会計専門学校</t>
    <phoneticPr fontId="2"/>
  </si>
  <si>
    <t>アスレティック
メディカルトレーナー科午前部</t>
    <rPh sb="18" eb="19">
      <t>カ</t>
    </rPh>
    <rPh sb="19" eb="22">
      <t>ゴゼンブ</t>
    </rPh>
    <phoneticPr fontId="2"/>
  </si>
  <si>
    <t>アスレティック
メディカルトレーナー科午後部</t>
    <rPh sb="18" eb="19">
      <t>カ</t>
    </rPh>
    <rPh sb="19" eb="21">
      <t>ゴゴ</t>
    </rPh>
    <rPh sb="21" eb="22">
      <t>ブ</t>
    </rPh>
    <phoneticPr fontId="2"/>
  </si>
  <si>
    <t>パーソナルトレーナ・
スポーツインストラクター科</t>
    <rPh sb="23" eb="24">
      <t>カ</t>
    </rPh>
    <phoneticPr fontId="2"/>
  </si>
  <si>
    <t>スポーツ科学科</t>
    <rPh sb="4" eb="6">
      <t>カガク</t>
    </rPh>
    <rPh sb="6" eb="7">
      <t>カ</t>
    </rPh>
    <phoneticPr fontId="2"/>
  </si>
  <si>
    <t>日本ウェルネススポーツ
専門学校</t>
    <rPh sb="0" eb="2">
      <t>ニホン</t>
    </rPh>
    <rPh sb="12" eb="16">
      <t>センモンガッコウ</t>
    </rPh>
    <phoneticPr fontId="2"/>
  </si>
  <si>
    <t>健康スポーツ科</t>
    <rPh sb="0" eb="2">
      <t>ケンコウ</t>
    </rPh>
    <rPh sb="6" eb="7">
      <t>カ</t>
    </rPh>
    <phoneticPr fontId="2"/>
  </si>
  <si>
    <t>東京YMCA社会体育・
保健専門学校</t>
    <rPh sb="0" eb="2">
      <t>トウキョウ</t>
    </rPh>
    <rPh sb="6" eb="8">
      <t>シャカイ</t>
    </rPh>
    <rPh sb="8" eb="10">
      <t>タイイク</t>
    </rPh>
    <rPh sb="12" eb="14">
      <t>ホケン</t>
    </rPh>
    <rPh sb="14" eb="18">
      <t>センモンガッコウ</t>
    </rPh>
    <phoneticPr fontId="2"/>
  </si>
  <si>
    <t>声優、eスポーツ、音響、
イラスト、キャラクターデザイン</t>
    <rPh sb="0" eb="2">
      <t>セイユウ</t>
    </rPh>
    <rPh sb="9" eb="11">
      <t>オンキョウ</t>
    </rPh>
    <phoneticPr fontId="2"/>
  </si>
  <si>
    <t>総合学科（声優コース含む）</t>
    <rPh sb="0" eb="4">
      <t>ソウゴウガッカ</t>
    </rPh>
    <rPh sb="5" eb="7">
      <t>セイユウ</t>
    </rPh>
    <rPh sb="10" eb="11">
      <t>フク</t>
    </rPh>
    <phoneticPr fontId="2"/>
  </si>
  <si>
    <t>総合学科
（マンガアニメコース含む）</t>
    <rPh sb="0" eb="4">
      <t>ソウゴウガッカ</t>
    </rPh>
    <rPh sb="15" eb="16">
      <t>フク</t>
    </rPh>
    <phoneticPr fontId="2"/>
  </si>
  <si>
    <t>専門学校国際理工カレッジ</t>
    <rPh sb="0" eb="6">
      <t>センモンガッコウコクサイ</t>
    </rPh>
    <rPh sb="6" eb="8">
      <t>リコウ</t>
    </rPh>
    <phoneticPr fontId="2"/>
  </si>
  <si>
    <t>情報システム科</t>
    <rPh sb="0" eb="2">
      <t>ジョウホウ</t>
    </rPh>
    <rPh sb="6" eb="7">
      <t>カ</t>
    </rPh>
    <phoneticPr fontId="2"/>
  </si>
  <si>
    <t>専門学校国際理工カレッジ</t>
    <rPh sb="0" eb="4">
      <t>センモンガッコウ</t>
    </rPh>
    <rPh sb="4" eb="6">
      <t>コクサイ</t>
    </rPh>
    <rPh sb="6" eb="8">
      <t>リコウ</t>
    </rPh>
    <phoneticPr fontId="2"/>
  </si>
  <si>
    <t>IoT＋AI科</t>
    <rPh sb="6" eb="7">
      <t>カ</t>
    </rPh>
    <phoneticPr fontId="2"/>
  </si>
  <si>
    <t>２年制</t>
    <rPh sb="1" eb="3">
      <t>ネンセイ</t>
    </rPh>
    <phoneticPr fontId="2"/>
  </si>
  <si>
    <t>東京工学院専門学校</t>
    <rPh sb="0" eb="5">
      <t>トウキョウコウガクイン</t>
    </rPh>
    <rPh sb="5" eb="9">
      <t>センモンガッコウ</t>
    </rPh>
    <phoneticPr fontId="2"/>
  </si>
  <si>
    <t>東京スクールオブミュージック
＆ダンス専門学校</t>
    <rPh sb="0" eb="2">
      <t>トウキョウ</t>
    </rPh>
    <rPh sb="19" eb="23">
      <t>センモンガッコウ</t>
    </rPh>
    <phoneticPr fontId="2"/>
  </si>
  <si>
    <t>音楽テクノロジー科3年制</t>
    <rPh sb="0" eb="2">
      <t>オンガク</t>
    </rPh>
    <rPh sb="8" eb="9">
      <t>カ</t>
    </rPh>
    <rPh sb="10" eb="12">
      <t>ネンセイ</t>
    </rPh>
    <phoneticPr fontId="2"/>
  </si>
  <si>
    <t>音楽テクノロジー科3年制
（昼間部一）</t>
    <rPh sb="0" eb="2">
      <t>オンガク</t>
    </rPh>
    <rPh sb="8" eb="9">
      <t>カ</t>
    </rPh>
    <rPh sb="10" eb="12">
      <t>ネンセイ</t>
    </rPh>
    <rPh sb="14" eb="17">
      <t>チュウカンブ</t>
    </rPh>
    <rPh sb="17" eb="18">
      <t>イチ</t>
    </rPh>
    <phoneticPr fontId="2"/>
  </si>
  <si>
    <t>音楽テクノロジー科3年制
（昼間部二）</t>
    <rPh sb="0" eb="2">
      <t>オンガク</t>
    </rPh>
    <rPh sb="8" eb="9">
      <t>カ</t>
    </rPh>
    <rPh sb="10" eb="12">
      <t>ネンセイ</t>
    </rPh>
    <rPh sb="14" eb="17">
      <t>チュウカンブ</t>
    </rPh>
    <rPh sb="17" eb="18">
      <t>ニ</t>
    </rPh>
    <phoneticPr fontId="2"/>
  </si>
  <si>
    <t>音楽テクノロジー科2年制
（昼間部一）</t>
    <rPh sb="0" eb="2">
      <t>オンガク</t>
    </rPh>
    <rPh sb="8" eb="9">
      <t>カ</t>
    </rPh>
    <rPh sb="10" eb="12">
      <t>ネンセイ</t>
    </rPh>
    <rPh sb="14" eb="17">
      <t>チュウカンブ</t>
    </rPh>
    <rPh sb="17" eb="18">
      <t>イチ</t>
    </rPh>
    <phoneticPr fontId="2"/>
  </si>
  <si>
    <t>音楽テクノロジー科2年制
（昼間部二）</t>
    <rPh sb="0" eb="2">
      <t>オンガク</t>
    </rPh>
    <rPh sb="8" eb="9">
      <t>カ</t>
    </rPh>
    <rPh sb="10" eb="12">
      <t>ネンセイ</t>
    </rPh>
    <rPh sb="14" eb="17">
      <t>チュウカンブ</t>
    </rPh>
    <rPh sb="17" eb="18">
      <t>ニ</t>
    </rPh>
    <phoneticPr fontId="2"/>
  </si>
  <si>
    <t>スーパーeエンターテイメント科（昼二）</t>
    <phoneticPr fontId="2"/>
  </si>
  <si>
    <t>東京スクールオブミュージック
＆ダンス専門学校澁谷</t>
    <rPh sb="0" eb="2">
      <t>トウキョウ</t>
    </rPh>
    <rPh sb="19" eb="23">
      <t>センモンガッコウ</t>
    </rPh>
    <rPh sb="23" eb="25">
      <t>シブヤ</t>
    </rPh>
    <phoneticPr fontId="2"/>
  </si>
  <si>
    <t>パフォーミングアーツ科</t>
    <rPh sb="10" eb="11">
      <t>カ</t>
    </rPh>
    <phoneticPr fontId="2"/>
  </si>
  <si>
    <t>東京ダンス・俳優＆舞台芸術
専門学校</t>
    <rPh sb="0" eb="2">
      <t>トウキョウ</t>
    </rPh>
    <rPh sb="6" eb="8">
      <t>ハイユウ</t>
    </rPh>
    <rPh sb="9" eb="13">
      <t>ブタイゲイジュツ</t>
    </rPh>
    <rPh sb="14" eb="18">
      <t>センモンガッコウ</t>
    </rPh>
    <phoneticPr fontId="2"/>
  </si>
  <si>
    <t>スーパーダンス科（昼一）</t>
    <rPh sb="7" eb="8">
      <t>カ</t>
    </rPh>
    <rPh sb="9" eb="10">
      <t>ヒル</t>
    </rPh>
    <rPh sb="10" eb="11">
      <t>イチ</t>
    </rPh>
    <phoneticPr fontId="2"/>
  </si>
  <si>
    <t>スーパーダンス科（昼二）</t>
    <rPh sb="7" eb="8">
      <t>カ</t>
    </rPh>
    <rPh sb="9" eb="10">
      <t>ヒル</t>
    </rPh>
    <rPh sb="10" eb="11">
      <t>ニ</t>
    </rPh>
    <phoneticPr fontId="2"/>
  </si>
  <si>
    <t>メディア＆テクノロジー科
（昼一）</t>
    <rPh sb="11" eb="12">
      <t>カ</t>
    </rPh>
    <rPh sb="14" eb="15">
      <t>ヒル</t>
    </rPh>
    <rPh sb="15" eb="16">
      <t>イチ</t>
    </rPh>
    <phoneticPr fontId="2"/>
  </si>
  <si>
    <t>メディア＆テクノロジー科
（昼二）</t>
    <rPh sb="11" eb="12">
      <t>カ</t>
    </rPh>
    <rPh sb="14" eb="15">
      <t>ヒル</t>
    </rPh>
    <rPh sb="15" eb="16">
      <t>ニ</t>
    </rPh>
    <phoneticPr fontId="2"/>
  </si>
  <si>
    <t>東京アニメ・声優
＆eスポーツ専門学校</t>
    <rPh sb="0" eb="2">
      <t>トウキョウ</t>
    </rPh>
    <rPh sb="6" eb="8">
      <t>セイユウ</t>
    </rPh>
    <rPh sb="15" eb="19">
      <t>センモンガッコウ</t>
    </rPh>
    <phoneticPr fontId="2"/>
  </si>
  <si>
    <t>東京俳優・映画＆放送専門学校</t>
    <rPh sb="0" eb="4">
      <t>トウキョウハイユウ</t>
    </rPh>
    <rPh sb="5" eb="7">
      <t>エイガ</t>
    </rPh>
    <rPh sb="8" eb="10">
      <t>ホウソウ</t>
    </rPh>
    <rPh sb="10" eb="14">
      <t>センモンガッコウ</t>
    </rPh>
    <phoneticPr fontId="2"/>
  </si>
  <si>
    <t>総合芸術科（昼一）</t>
    <rPh sb="0" eb="5">
      <t>ソウゴウゲイジュツカ</t>
    </rPh>
    <rPh sb="6" eb="7">
      <t>ヒル</t>
    </rPh>
    <rPh sb="7" eb="8">
      <t>イチ</t>
    </rPh>
    <phoneticPr fontId="2"/>
  </si>
  <si>
    <t>総合芸術科（昼二）</t>
    <rPh sb="0" eb="5">
      <t>ソウゴウゲイジュツカ</t>
    </rPh>
    <rPh sb="6" eb="7">
      <t>ヒル</t>
    </rPh>
    <rPh sb="7" eb="8">
      <t>ニ</t>
    </rPh>
    <phoneticPr fontId="2"/>
  </si>
  <si>
    <t>映画俳優科</t>
    <rPh sb="0" eb="5">
      <t>エイガハイユウカ</t>
    </rPh>
    <phoneticPr fontId="2"/>
  </si>
  <si>
    <t>映画制作科（昼一）</t>
    <rPh sb="0" eb="5">
      <t>エイガセイサクカ</t>
    </rPh>
    <rPh sb="6" eb="7">
      <t>ヒル</t>
    </rPh>
    <rPh sb="7" eb="8">
      <t>イチ</t>
    </rPh>
    <phoneticPr fontId="2"/>
  </si>
  <si>
    <t>映画制作科（昼二）</t>
    <rPh sb="0" eb="5">
      <t>エイガセイサクカ</t>
    </rPh>
    <rPh sb="6" eb="7">
      <t>ヒル</t>
    </rPh>
    <rPh sb="7" eb="8">
      <t>ニ</t>
    </rPh>
    <phoneticPr fontId="2"/>
  </si>
  <si>
    <t>東京俳優・映画＆放送
専門学校</t>
    <rPh sb="0" eb="4">
      <t>トウキョウハイユウ</t>
    </rPh>
    <rPh sb="5" eb="7">
      <t>エイガ</t>
    </rPh>
    <rPh sb="8" eb="10">
      <t>ホウソウ</t>
    </rPh>
    <rPh sb="11" eb="15">
      <t>センモンガッコウ</t>
    </rPh>
    <phoneticPr fontId="2"/>
  </si>
  <si>
    <t>ミュージシャン、作曲、
ダンス、コンイベ、俳優</t>
    <rPh sb="8" eb="10">
      <t>サッキョク</t>
    </rPh>
    <rPh sb="21" eb="23">
      <t>ハイユウ</t>
    </rPh>
    <phoneticPr fontId="2"/>
  </si>
  <si>
    <t>ミュージシャン、作曲、
コンイベ</t>
    <rPh sb="8" eb="10">
      <t>サッキョク</t>
    </rPh>
    <phoneticPr fontId="2"/>
  </si>
  <si>
    <t>ミュージシャン、作曲、
コンイベ、音響</t>
    <rPh sb="8" eb="10">
      <t>サッキョク</t>
    </rPh>
    <rPh sb="17" eb="19">
      <t>オンキョウ</t>
    </rPh>
    <phoneticPr fontId="2"/>
  </si>
  <si>
    <t>バークリー音楽留学</t>
    <rPh sb="5" eb="9">
      <t>オンガクリュウガク</t>
    </rPh>
    <phoneticPr fontId="2"/>
  </si>
  <si>
    <t>ダンス、俳優、声優</t>
    <rPh sb="4" eb="6">
      <t>ハイユウ</t>
    </rPh>
    <rPh sb="7" eb="9">
      <t>セイユウ</t>
    </rPh>
    <phoneticPr fontId="2"/>
  </si>
  <si>
    <t>俳優</t>
    <rPh sb="0" eb="2">
      <t>ハイユウ</t>
    </rPh>
    <phoneticPr fontId="2"/>
  </si>
  <si>
    <t>俳優、映像スタッフ、
CG制作</t>
    <rPh sb="0" eb="2">
      <t>ハイユウ</t>
    </rPh>
    <rPh sb="3" eb="5">
      <t>エイゾウ</t>
    </rPh>
    <rPh sb="13" eb="15">
      <t>セイサク</t>
    </rPh>
    <phoneticPr fontId="2"/>
  </si>
  <si>
    <t>映像スタッフ、
演劇スタッフ</t>
    <rPh sb="0" eb="2">
      <t>エイゾウ</t>
    </rPh>
    <rPh sb="8" eb="10">
      <t>エンゲキ</t>
    </rPh>
    <phoneticPr fontId="2"/>
  </si>
  <si>
    <t>該当分野</t>
    <rPh sb="0" eb="4">
      <t>ガイトウブンヤ</t>
    </rPh>
    <phoneticPr fontId="2"/>
  </si>
  <si>
    <t>リゾート＆スポーツ
（東京・横浜合算）</t>
    <rPh sb="11" eb="13">
      <t>トウキョウ</t>
    </rPh>
    <rPh sb="14" eb="16">
      <t>ヨコハマ</t>
    </rPh>
    <rPh sb="16" eb="18">
      <t>ガッサン</t>
    </rPh>
    <phoneticPr fontId="2"/>
  </si>
  <si>
    <t>東京ホテル・観光＆
ホスピタリティ専門学校</t>
    <rPh sb="0" eb="2">
      <t>トウキョウ</t>
    </rPh>
    <rPh sb="6" eb="8">
      <t>カンコウ</t>
    </rPh>
    <rPh sb="17" eb="21">
      <t>センモンガッコウ</t>
    </rPh>
    <phoneticPr fontId="2"/>
  </si>
  <si>
    <t>東放学園（4校合算）</t>
    <rPh sb="0" eb="4">
      <t>トウホウガクエン</t>
    </rPh>
    <rPh sb="6" eb="7">
      <t>コウ</t>
    </rPh>
    <rPh sb="7" eb="9">
      <t>ガッサン</t>
    </rPh>
    <phoneticPr fontId="2"/>
  </si>
  <si>
    <t>漫画・イラスト科
※2025年新設</t>
    <rPh sb="0" eb="2">
      <t>マンガ</t>
    </rPh>
    <rPh sb="7" eb="8">
      <t>カ</t>
    </rPh>
    <rPh sb="14" eb="15">
      <t>ネン</t>
    </rPh>
    <rPh sb="15" eb="17">
      <t>シンセツ</t>
    </rPh>
    <phoneticPr fontId="2"/>
  </si>
  <si>
    <t>新宿医療専門学校</t>
    <rPh sb="0" eb="4">
      <t>シンジュクイリョウ</t>
    </rPh>
    <rPh sb="4" eb="8">
      <t>センモンガッコウ</t>
    </rPh>
    <phoneticPr fontId="2"/>
  </si>
  <si>
    <t>日本医学柔整鍼灸専門学校</t>
    <rPh sb="0" eb="4">
      <t>ニホンイガク</t>
    </rPh>
    <rPh sb="4" eb="6">
      <t>ジュウセイ</t>
    </rPh>
    <rPh sb="6" eb="8">
      <t>シンキュウ</t>
    </rPh>
    <rPh sb="8" eb="12">
      <t>センモンガッコウ</t>
    </rPh>
    <phoneticPr fontId="2"/>
  </si>
  <si>
    <t>東京エアトラベル・
ホテル専門学校</t>
    <rPh sb="0" eb="2">
      <t>トウキョウ</t>
    </rPh>
    <rPh sb="13" eb="15">
      <t>センモン</t>
    </rPh>
    <rPh sb="15" eb="17">
      <t>ガッコウ</t>
    </rPh>
    <phoneticPr fontId="2"/>
  </si>
  <si>
    <t>※2025年から（グラフィックデザイン・イラストコース）に変更</t>
    <rPh sb="5" eb="6">
      <t>ネン</t>
    </rPh>
    <rPh sb="29" eb="31">
      <t>ヘンコウ</t>
    </rPh>
    <phoneticPr fontId="2"/>
  </si>
  <si>
    <t>※2025年から「イラスト」がグラフィックコースに移管。アニメのみのコースに</t>
    <rPh sb="5" eb="6">
      <t>ネン</t>
    </rPh>
    <rPh sb="25" eb="27">
      <t>イカン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</si>
</sst>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name val="ＭＳ Ｐゴシック"/>
      <family val="3"/>
      <charset val="128"/>
    </font>
    <font>
      <sz val="11"/>
      <name val="メイリオ"/>
      <family val="3"/>
      <charset val="128"/>
    </font>
    <font>
      <sz val="6"/>
      <name val="ＭＳ Ｐゴシック"/>
      <family val="3"/>
      <charset val="128"/>
    </font>
    <font>
      <b/>
      <sz val="11"/>
      <name val="メイリオ"/>
      <family val="3"/>
      <charset val="128"/>
    </font>
    <font>
      <b/>
      <sz val="11"/>
      <color rgb="FFFF0000"/>
      <name val="メイリオ"/>
      <family val="3"/>
      <charset val="128"/>
    </font>
    <font>
      <b/>
      <sz val="20"/>
      <name val="メイリオ"/>
      <family val="3"/>
      <charset val="128"/>
    </font>
    <font>
      <sz val="10"/>
      <name val="メイリオ"/>
      <family val="3"/>
      <charset val="128"/>
    </font>
    <font>
      <b/>
      <sz val="14"/>
      <name val="メイリオ"/>
      <family val="3"/>
      <charset val="128"/>
    </font>
    <font>
      <b/>
      <sz val="10"/>
      <name val="メイリオ"/>
      <family val="3"/>
      <charset val="128"/>
    </font>
    <font>
      <b/>
      <sz val="8"/>
      <name val="メイリオ"/>
      <family val="3"/>
      <charset val="128"/>
    </font>
    <font>
      <b/>
      <sz val="11"/>
      <color theme="4"/>
      <name val="メイリオ"/>
      <family val="3"/>
      <charset val="128"/>
    </font>
    <font>
      <sz val="14"/>
      <name val="メイリオ"/>
      <family val="3"/>
      <charset val="128"/>
    </font>
  </fonts>
  <fills count="10">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4" tint="0.59999389629810485"/>
        <bgColor indexed="64"/>
      </patternFill>
    </fill>
  </fills>
  <borders count="42">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alignment vertical="center"/>
    </xf>
  </cellStyleXfs>
  <cellXfs count="159">
    <xf numFmtId="0" fontId="0" fillId="0" borderId="0" xfId="0">
      <alignment vertical="center"/>
    </xf>
    <xf numFmtId="0" fontId="1" fillId="0" borderId="0" xfId="0" applyFont="1">
      <alignment vertical="center"/>
    </xf>
    <xf numFmtId="0" fontId="3" fillId="0" borderId="0" xfId="0" applyFont="1" applyAlignment="1">
      <alignment vertical="center" shrinkToFit="1"/>
    </xf>
    <xf numFmtId="0" fontId="1" fillId="0" borderId="1" xfId="0" applyFont="1" applyBorder="1">
      <alignment vertical="center"/>
    </xf>
    <xf numFmtId="0" fontId="1" fillId="0" borderId="2" xfId="0" applyFont="1" applyBorder="1">
      <alignment vertical="center"/>
    </xf>
    <xf numFmtId="176" fontId="1" fillId="0" borderId="0" xfId="0" applyNumberFormat="1" applyFont="1">
      <alignment vertical="center"/>
    </xf>
    <xf numFmtId="0" fontId="1" fillId="4" borderId="1" xfId="0" applyFont="1" applyFill="1" applyBorder="1">
      <alignment vertical="center"/>
    </xf>
    <xf numFmtId="0" fontId="1" fillId="4" borderId="2" xfId="0" applyFont="1" applyFill="1" applyBorder="1">
      <alignment vertical="center"/>
    </xf>
    <xf numFmtId="0" fontId="1" fillId="4" borderId="7" xfId="0" applyFont="1" applyFill="1" applyBorder="1">
      <alignment vertical="center"/>
    </xf>
    <xf numFmtId="0" fontId="1" fillId="4" borderId="8" xfId="0" applyFont="1" applyFill="1" applyBorder="1">
      <alignment vertical="center"/>
    </xf>
    <xf numFmtId="0" fontId="5" fillId="0" borderId="0" xfId="0" applyFont="1" applyAlignment="1">
      <alignment vertical="center" shrinkToFit="1"/>
    </xf>
    <xf numFmtId="176" fontId="4" fillId="4" borderId="15" xfId="0" applyNumberFormat="1" applyFont="1" applyFill="1" applyBorder="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shrinkToFit="1"/>
    </xf>
    <xf numFmtId="0" fontId="1" fillId="3" borderId="2" xfId="0" applyFont="1" applyFill="1" applyBorder="1" applyAlignment="1">
      <alignment horizontal="center" vertical="center" wrapText="1"/>
    </xf>
    <xf numFmtId="0" fontId="4" fillId="3" borderId="5" xfId="0" applyFont="1" applyFill="1" applyBorder="1" applyAlignment="1">
      <alignment horizontal="center" vertical="center"/>
    </xf>
    <xf numFmtId="176" fontId="4" fillId="6" borderId="5" xfId="0" applyNumberFormat="1" applyFont="1" applyFill="1" applyBorder="1">
      <alignment vertical="center"/>
    </xf>
    <xf numFmtId="176" fontId="4" fillId="7" borderId="5" xfId="0" applyNumberFormat="1" applyFont="1" applyFill="1" applyBorder="1" applyAlignment="1">
      <alignment vertical="center"/>
    </xf>
    <xf numFmtId="176" fontId="4" fillId="4" borderId="5" xfId="0" applyNumberFormat="1" applyFont="1" applyFill="1" applyBorder="1" applyAlignment="1">
      <alignment vertical="center"/>
    </xf>
    <xf numFmtId="176" fontId="4" fillId="8" borderId="5" xfId="0" applyNumberFormat="1" applyFont="1" applyFill="1" applyBorder="1" applyAlignment="1">
      <alignment vertical="center"/>
    </xf>
    <xf numFmtId="176" fontId="4" fillId="8" borderId="4" xfId="0" applyNumberFormat="1" applyFont="1" applyFill="1" applyBorder="1" applyAlignment="1">
      <alignment vertical="center"/>
    </xf>
    <xf numFmtId="176" fontId="4" fillId="5" borderId="5" xfId="0" applyNumberFormat="1" applyFont="1" applyFill="1" applyBorder="1" applyAlignment="1">
      <alignment vertical="center"/>
    </xf>
    <xf numFmtId="176" fontId="4" fillId="4" borderId="4" xfId="0" applyNumberFormat="1" applyFont="1" applyFill="1" applyBorder="1" applyAlignment="1">
      <alignment vertical="center"/>
    </xf>
    <xf numFmtId="0" fontId="3" fillId="4" borderId="1" xfId="0" applyFont="1" applyFill="1" applyBorder="1">
      <alignment vertical="center"/>
    </xf>
    <xf numFmtId="0" fontId="3" fillId="7" borderId="5" xfId="0" applyFont="1" applyFill="1" applyBorder="1">
      <alignment vertical="center"/>
    </xf>
    <xf numFmtId="0" fontId="7" fillId="6" borderId="1" xfId="0" applyFont="1" applyFill="1" applyBorder="1">
      <alignment vertical="center"/>
    </xf>
    <xf numFmtId="0" fontId="7" fillId="0" borderId="1" xfId="0" applyFont="1" applyBorder="1">
      <alignment vertical="center"/>
    </xf>
    <xf numFmtId="0" fontId="7" fillId="5" borderId="1" xfId="0" applyFont="1" applyFill="1" applyBorder="1">
      <alignment vertical="center"/>
    </xf>
    <xf numFmtId="0" fontId="7" fillId="0" borderId="25" xfId="0" applyFont="1" applyBorder="1">
      <alignment vertical="center"/>
    </xf>
    <xf numFmtId="0" fontId="7" fillId="0" borderId="26" xfId="0" applyFont="1" applyBorder="1">
      <alignment vertical="center"/>
    </xf>
    <xf numFmtId="0" fontId="7" fillId="6" borderId="18" xfId="0" applyFont="1" applyFill="1" applyBorder="1">
      <alignment vertical="center"/>
    </xf>
    <xf numFmtId="0" fontId="7" fillId="6" borderId="25" xfId="0" applyFont="1" applyFill="1" applyBorder="1">
      <alignment vertical="center"/>
    </xf>
    <xf numFmtId="0" fontId="1" fillId="0" borderId="25" xfId="0" applyFont="1" applyBorder="1">
      <alignment vertical="center"/>
    </xf>
    <xf numFmtId="0" fontId="1" fillId="0" borderId="17" xfId="0" applyFont="1" applyBorder="1">
      <alignment vertical="center"/>
    </xf>
    <xf numFmtId="0" fontId="7" fillId="0" borderId="8" xfId="0" applyFont="1" applyBorder="1">
      <alignment vertical="center"/>
    </xf>
    <xf numFmtId="0" fontId="7" fillId="4" borderId="1" xfId="0" applyFont="1" applyFill="1" applyBorder="1">
      <alignment vertical="center"/>
    </xf>
    <xf numFmtId="0" fontId="7" fillId="0" borderId="18" xfId="0" applyFont="1" applyBorder="1">
      <alignment vertical="center"/>
    </xf>
    <xf numFmtId="0" fontId="7" fillId="4" borderId="7" xfId="0" applyFont="1" applyFill="1" applyBorder="1">
      <alignment vertical="center"/>
    </xf>
    <xf numFmtId="0" fontId="7" fillId="4" borderId="8" xfId="0" applyFont="1" applyFill="1" applyBorder="1">
      <alignment vertical="center"/>
    </xf>
    <xf numFmtId="0" fontId="7" fillId="0" borderId="7" xfId="0" applyFont="1" applyBorder="1">
      <alignment vertical="center"/>
    </xf>
    <xf numFmtId="0" fontId="3" fillId="4" borderId="26" xfId="0" applyFont="1" applyFill="1" applyBorder="1">
      <alignment vertical="center"/>
    </xf>
    <xf numFmtId="0" fontId="7" fillId="5" borderId="26" xfId="0" applyFont="1" applyFill="1" applyBorder="1">
      <alignment vertical="center"/>
    </xf>
    <xf numFmtId="176" fontId="4" fillId="4" borderId="25" xfId="0" applyNumberFormat="1" applyFont="1" applyFill="1" applyBorder="1" applyAlignment="1">
      <alignment horizontal="center" vertical="center"/>
    </xf>
    <xf numFmtId="176" fontId="4" fillId="4" borderId="32" xfId="0" applyNumberFormat="1" applyFont="1" applyFill="1" applyBorder="1" applyAlignment="1">
      <alignment horizontal="center" vertical="center"/>
    </xf>
    <xf numFmtId="176" fontId="4" fillId="4" borderId="18" xfId="0" applyNumberFormat="1" applyFont="1" applyFill="1" applyBorder="1" applyAlignment="1">
      <alignment horizontal="center" vertical="center"/>
    </xf>
    <xf numFmtId="176" fontId="10" fillId="5" borderId="5" xfId="0" applyNumberFormat="1" applyFont="1" applyFill="1" applyBorder="1" applyAlignment="1">
      <alignment vertical="center"/>
    </xf>
    <xf numFmtId="176" fontId="10" fillId="6" borderId="5" xfId="0" applyNumberFormat="1" applyFont="1" applyFill="1" applyBorder="1">
      <alignment vertical="center"/>
    </xf>
    <xf numFmtId="176" fontId="4" fillId="5" borderId="5" xfId="0" applyNumberFormat="1" applyFont="1" applyFill="1" applyBorder="1">
      <alignment vertical="center"/>
    </xf>
    <xf numFmtId="0" fontId="3" fillId="0" borderId="0" xfId="0" applyFont="1">
      <alignment vertical="center"/>
    </xf>
    <xf numFmtId="0" fontId="1" fillId="3" borderId="11" xfId="0" applyFont="1" applyFill="1" applyBorder="1" applyAlignment="1">
      <alignment horizontal="center" vertical="center" wrapText="1"/>
    </xf>
    <xf numFmtId="0" fontId="11" fillId="6" borderId="2" xfId="0" applyFont="1" applyFill="1" applyBorder="1">
      <alignment vertical="center"/>
    </xf>
    <xf numFmtId="176" fontId="1" fillId="6" borderId="21" xfId="0" applyNumberFormat="1" applyFont="1" applyFill="1" applyBorder="1" applyAlignment="1">
      <alignment vertical="center"/>
    </xf>
    <xf numFmtId="0" fontId="11" fillId="0" borderId="2" xfId="0" applyFont="1" applyBorder="1">
      <alignment vertical="center"/>
    </xf>
    <xf numFmtId="176" fontId="1" fillId="5" borderId="6" xfId="0" applyNumberFormat="1" applyFont="1" applyFill="1" applyBorder="1" applyAlignment="1">
      <alignment vertical="center"/>
    </xf>
    <xf numFmtId="0" fontId="11" fillId="4" borderId="2" xfId="0" applyFont="1" applyFill="1" applyBorder="1">
      <alignment vertical="center"/>
    </xf>
    <xf numFmtId="0" fontId="11" fillId="4" borderId="8" xfId="0" applyFont="1" applyFill="1" applyBorder="1">
      <alignment vertical="center"/>
    </xf>
    <xf numFmtId="0" fontId="11" fillId="0" borderId="8" xfId="0" applyFont="1" applyBorder="1">
      <alignment vertical="center"/>
    </xf>
    <xf numFmtId="176" fontId="1" fillId="6" borderId="11" xfId="0" applyNumberFormat="1" applyFont="1" applyFill="1" applyBorder="1" applyAlignment="1">
      <alignment vertical="center"/>
    </xf>
    <xf numFmtId="176" fontId="1" fillId="4" borderId="6" xfId="0" applyNumberFormat="1" applyFont="1" applyFill="1" applyBorder="1" applyAlignment="1">
      <alignment vertical="center"/>
    </xf>
    <xf numFmtId="0" fontId="11" fillId="5" borderId="2" xfId="0" applyFont="1" applyFill="1" applyBorder="1">
      <alignment vertical="center"/>
    </xf>
    <xf numFmtId="0" fontId="11" fillId="6" borderId="24" xfId="0" applyFont="1" applyFill="1" applyBorder="1">
      <alignment vertical="center"/>
    </xf>
    <xf numFmtId="0" fontId="11" fillId="6" borderId="17" xfId="0" applyFont="1" applyFill="1" applyBorder="1">
      <alignment vertical="center"/>
    </xf>
    <xf numFmtId="0" fontId="11" fillId="0" borderId="17" xfId="0" applyFont="1" applyBorder="1">
      <alignment vertical="center"/>
    </xf>
    <xf numFmtId="176" fontId="1" fillId="5" borderId="11" xfId="0" applyNumberFormat="1" applyFont="1" applyFill="1" applyBorder="1" applyAlignment="1">
      <alignment vertical="center"/>
    </xf>
    <xf numFmtId="0" fontId="3" fillId="3" borderId="1" xfId="0" applyFont="1" applyFill="1" applyBorder="1" applyAlignment="1">
      <alignment horizontal="center" vertical="center"/>
    </xf>
    <xf numFmtId="0" fontId="11" fillId="0" borderId="24" xfId="0" applyFont="1" applyBorder="1">
      <alignment vertical="center"/>
    </xf>
    <xf numFmtId="0" fontId="11" fillId="0" borderId="33" xfId="0" applyFont="1" applyBorder="1">
      <alignment vertical="center"/>
    </xf>
    <xf numFmtId="0" fontId="1" fillId="4" borderId="28" xfId="0" applyFont="1" applyFill="1" applyBorder="1">
      <alignment vertical="center"/>
    </xf>
    <xf numFmtId="0" fontId="11" fillId="0" borderId="28" xfId="0" applyFont="1" applyBorder="1">
      <alignment vertical="center"/>
    </xf>
    <xf numFmtId="0" fontId="11" fillId="5" borderId="28" xfId="0" applyFont="1" applyFill="1" applyBorder="1">
      <alignment vertical="center"/>
    </xf>
    <xf numFmtId="176" fontId="1" fillId="6" borderId="6" xfId="0" applyNumberFormat="1" applyFont="1" applyFill="1" applyBorder="1" applyAlignment="1">
      <alignment vertical="center"/>
    </xf>
    <xf numFmtId="0" fontId="7" fillId="6" borderId="26" xfId="0" applyFont="1" applyFill="1" applyBorder="1">
      <alignment vertical="center"/>
    </xf>
    <xf numFmtId="0" fontId="11" fillId="6" borderId="28" xfId="0" applyFont="1" applyFill="1" applyBorder="1">
      <alignment vertical="center"/>
    </xf>
    <xf numFmtId="0" fontId="3" fillId="7" borderId="38" xfId="0" applyFont="1" applyFill="1" applyBorder="1">
      <alignment vertical="center"/>
    </xf>
    <xf numFmtId="176" fontId="1" fillId="6" borderId="39" xfId="0" applyNumberFormat="1" applyFont="1" applyFill="1" applyBorder="1" applyAlignment="1">
      <alignment vertical="center"/>
    </xf>
    <xf numFmtId="176" fontId="4" fillId="6" borderId="38" xfId="0" applyNumberFormat="1" applyFont="1" applyFill="1" applyBorder="1">
      <alignment vertical="center"/>
    </xf>
    <xf numFmtId="176" fontId="1" fillId="6" borderId="40" xfId="0" applyNumberFormat="1" applyFont="1" applyFill="1" applyBorder="1" applyAlignment="1">
      <alignment vertical="center"/>
    </xf>
    <xf numFmtId="176" fontId="4" fillId="8" borderId="37" xfId="0" applyNumberFormat="1" applyFont="1" applyFill="1" applyBorder="1" applyAlignment="1">
      <alignment vertical="center"/>
    </xf>
    <xf numFmtId="176" fontId="1" fillId="5" borderId="41" xfId="0" applyNumberFormat="1" applyFont="1" applyFill="1" applyBorder="1" applyAlignment="1">
      <alignment vertical="center"/>
    </xf>
    <xf numFmtId="176" fontId="4" fillId="5" borderId="38" xfId="0" applyNumberFormat="1" applyFont="1" applyFill="1" applyBorder="1">
      <alignment vertical="center"/>
    </xf>
    <xf numFmtId="176" fontId="4" fillId="4" borderId="37" xfId="0" applyNumberFormat="1" applyFont="1" applyFill="1" applyBorder="1" applyAlignment="1">
      <alignment vertical="center"/>
    </xf>
    <xf numFmtId="176" fontId="1" fillId="4" borderId="41" xfId="0" applyNumberFormat="1" applyFont="1" applyFill="1" applyBorder="1" applyAlignment="1">
      <alignment vertical="center"/>
    </xf>
    <xf numFmtId="0" fontId="11" fillId="6" borderId="20" xfId="0" applyFont="1" applyFill="1" applyBorder="1">
      <alignment vertical="center"/>
    </xf>
    <xf numFmtId="176" fontId="1" fillId="0" borderId="6" xfId="0" applyNumberFormat="1" applyFont="1" applyBorder="1" applyAlignment="1">
      <alignment vertical="center"/>
    </xf>
    <xf numFmtId="176" fontId="4" fillId="4" borderId="5" xfId="0" applyNumberFormat="1" applyFont="1" applyFill="1" applyBorder="1">
      <alignment vertical="center"/>
    </xf>
    <xf numFmtId="0" fontId="3" fillId="6" borderId="5" xfId="0" applyFont="1" applyFill="1" applyBorder="1">
      <alignment vertical="center"/>
    </xf>
    <xf numFmtId="0" fontId="7" fillId="5" borderId="25" xfId="0" applyFont="1" applyFill="1" applyBorder="1">
      <alignment vertical="center"/>
    </xf>
    <xf numFmtId="176" fontId="1" fillId="4" borderId="17" xfId="0" applyNumberFormat="1" applyFont="1" applyFill="1" applyBorder="1" applyAlignment="1">
      <alignment horizontal="center" vertical="center"/>
    </xf>
    <xf numFmtId="0" fontId="11" fillId="5" borderId="17" xfId="0" applyFont="1" applyFill="1" applyBorder="1">
      <alignment vertical="center"/>
    </xf>
    <xf numFmtId="176" fontId="1" fillId="4" borderId="19" xfId="0" applyNumberFormat="1" applyFont="1" applyFill="1" applyBorder="1" applyAlignment="1">
      <alignment horizontal="center" vertical="center"/>
    </xf>
    <xf numFmtId="176" fontId="1" fillId="4" borderId="35"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0" fontId="7" fillId="5" borderId="8" xfId="0" applyFont="1" applyFill="1" applyBorder="1">
      <alignment vertical="center"/>
    </xf>
    <xf numFmtId="0" fontId="3" fillId="9" borderId="36" xfId="0" applyFont="1" applyFill="1" applyBorder="1" applyAlignment="1">
      <alignment horizontal="center" vertical="center" shrinkToFit="1"/>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176" fontId="4" fillId="4" borderId="12" xfId="0" applyNumberFormat="1" applyFont="1" applyFill="1" applyBorder="1" applyAlignment="1">
      <alignment horizontal="center" vertical="center"/>
    </xf>
    <xf numFmtId="176" fontId="4" fillId="4" borderId="11" xfId="0" applyNumberFormat="1" applyFont="1" applyFill="1" applyBorder="1" applyAlignment="1">
      <alignment horizontal="center" vertical="center"/>
    </xf>
    <xf numFmtId="0" fontId="3" fillId="0" borderId="13" xfId="0" applyFont="1" applyBorder="1" applyAlignment="1">
      <alignment horizontal="left" vertical="center" shrinkToFit="1"/>
    </xf>
    <xf numFmtId="0" fontId="3" fillId="0" borderId="14" xfId="0" applyFont="1" applyBorder="1" applyAlignment="1">
      <alignment horizontal="left" vertical="center" shrinkToFit="1"/>
    </xf>
    <xf numFmtId="176" fontId="4" fillId="4" borderId="4" xfId="0" applyNumberFormat="1" applyFont="1" applyFill="1" applyBorder="1" applyAlignment="1">
      <alignment horizontal="center" vertical="center"/>
    </xf>
    <xf numFmtId="176" fontId="4" fillId="4" borderId="9" xfId="0" applyNumberFormat="1" applyFont="1" applyFill="1" applyBorder="1" applyAlignment="1">
      <alignment horizontal="center" vertical="center"/>
    </xf>
    <xf numFmtId="176" fontId="4" fillId="4" borderId="5" xfId="0" applyNumberFormat="1" applyFont="1" applyFill="1" applyBorder="1" applyAlignment="1">
      <alignment horizontal="center" vertical="center"/>
    </xf>
    <xf numFmtId="176" fontId="4" fillId="4" borderId="6" xfId="0" applyNumberFormat="1" applyFont="1" applyFill="1" applyBorder="1" applyAlignment="1">
      <alignment horizontal="center" vertical="center"/>
    </xf>
    <xf numFmtId="0" fontId="3" fillId="0" borderId="13" xfId="0" applyFont="1" applyBorder="1" applyAlignment="1">
      <alignment horizontal="left" vertical="center" wrapText="1" shrinkToFit="1"/>
    </xf>
    <xf numFmtId="0" fontId="3" fillId="0" borderId="14" xfId="0" applyFont="1" applyBorder="1" applyAlignment="1">
      <alignment horizontal="left" vertical="center" wrapText="1"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3" xfId="0" applyFont="1" applyBorder="1" applyAlignment="1">
      <alignment horizontal="left" vertical="center" wrapText="1" shrinkToFit="1"/>
    </xf>
    <xf numFmtId="0" fontId="3" fillId="0" borderId="30" xfId="0" applyFont="1" applyBorder="1" applyAlignment="1">
      <alignment horizontal="left" vertical="center" shrinkToFit="1"/>
    </xf>
    <xf numFmtId="0" fontId="3" fillId="0" borderId="31" xfId="0" applyFont="1" applyBorder="1" applyAlignment="1">
      <alignment horizontal="left" vertical="center" shrinkToFit="1"/>
    </xf>
    <xf numFmtId="0" fontId="3" fillId="6" borderId="3" xfId="0" applyFont="1" applyFill="1" applyBorder="1" applyAlignment="1">
      <alignment horizontal="left" vertical="center" shrinkToFit="1"/>
    </xf>
    <xf numFmtId="0" fontId="3" fillId="6" borderId="4" xfId="0" applyFont="1" applyFill="1" applyBorder="1" applyAlignment="1">
      <alignment horizontal="left" vertical="center" shrinkToFit="1"/>
    </xf>
    <xf numFmtId="176" fontId="4" fillId="4" borderId="10" xfId="0" applyNumberFormat="1" applyFont="1" applyFill="1" applyBorder="1" applyAlignment="1">
      <alignment horizontal="center" vertical="center"/>
    </xf>
    <xf numFmtId="0" fontId="8" fillId="0" borderId="13" xfId="0" applyFont="1" applyBorder="1" applyAlignment="1">
      <alignment horizontal="left" vertical="center" wrapText="1" shrinkToFit="1"/>
    </xf>
    <xf numFmtId="0" fontId="8" fillId="0" borderId="14" xfId="0" applyFont="1" applyBorder="1" applyAlignment="1">
      <alignment horizontal="left" vertical="center" wrapText="1" shrinkToFit="1"/>
    </xf>
    <xf numFmtId="0" fontId="3" fillId="0" borderId="30" xfId="0" applyFont="1" applyBorder="1" applyAlignment="1">
      <alignment horizontal="left" vertical="center" wrapText="1" shrinkToFit="1"/>
    </xf>
    <xf numFmtId="0" fontId="3" fillId="0" borderId="16" xfId="0" applyFont="1" applyBorder="1" applyAlignment="1">
      <alignment horizontal="left" vertical="center" wrapText="1" shrinkToFit="1"/>
    </xf>
    <xf numFmtId="0" fontId="3" fillId="0" borderId="13"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3" xfId="0" applyFont="1" applyBorder="1" applyAlignment="1">
      <alignment horizontal="left" vertical="center" wrapText="1"/>
    </xf>
    <xf numFmtId="0" fontId="3" fillId="0" borderId="16" xfId="0" applyFont="1" applyBorder="1" applyAlignment="1">
      <alignment horizontal="left" vertical="center" wrapText="1"/>
    </xf>
    <xf numFmtId="0" fontId="3" fillId="0" borderId="14" xfId="0" applyFont="1" applyBorder="1" applyAlignment="1">
      <alignment horizontal="left" vertical="center" wrapText="1"/>
    </xf>
    <xf numFmtId="0" fontId="3" fillId="0" borderId="16" xfId="0" applyFont="1" applyBorder="1" applyAlignment="1">
      <alignment horizontal="left" vertical="center"/>
    </xf>
    <xf numFmtId="0" fontId="3" fillId="0" borderId="14" xfId="0" applyFont="1" applyBorder="1" applyAlignment="1">
      <alignment horizontal="left" vertical="center"/>
    </xf>
    <xf numFmtId="0" fontId="3" fillId="0" borderId="13" xfId="0" applyFont="1" applyBorder="1" applyAlignment="1">
      <alignment horizontal="center" vertical="center" wrapText="1" shrinkToFit="1"/>
    </xf>
    <xf numFmtId="0" fontId="3" fillId="0" borderId="14" xfId="0" applyFont="1" applyBorder="1" applyAlignment="1">
      <alignment horizontal="center" vertical="center" wrapText="1" shrinkToFi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3" fillId="0" borderId="13" xfId="0" applyFont="1" applyBorder="1" applyAlignment="1">
      <alignment horizontal="left" vertical="center"/>
    </xf>
    <xf numFmtId="0" fontId="1" fillId="0" borderId="15" xfId="0" applyFont="1" applyBorder="1" applyAlignment="1">
      <alignment horizontal="left" vertical="center"/>
    </xf>
    <xf numFmtId="0" fontId="3" fillId="6" borderId="16" xfId="0" applyFont="1" applyFill="1" applyBorder="1" applyAlignment="1">
      <alignment horizontal="left" vertical="center" wrapText="1" shrinkToFit="1"/>
    </xf>
    <xf numFmtId="0" fontId="3" fillId="6" borderId="34" xfId="0" applyFont="1" applyFill="1" applyBorder="1" applyAlignment="1">
      <alignment horizontal="left" vertical="center" wrapText="1" shrinkToFit="1"/>
    </xf>
    <xf numFmtId="0" fontId="3" fillId="6" borderId="37" xfId="0" applyFont="1" applyFill="1" applyBorder="1" applyAlignment="1">
      <alignment horizontal="left" vertical="center" shrinkToFit="1"/>
    </xf>
    <xf numFmtId="0" fontId="3" fillId="6" borderId="16" xfId="0" applyFont="1" applyFill="1" applyBorder="1" applyAlignment="1">
      <alignment horizontal="center" vertical="center" shrinkToFit="1"/>
    </xf>
    <xf numFmtId="0" fontId="3" fillId="0" borderId="16" xfId="0" applyFont="1" applyBorder="1" applyAlignment="1">
      <alignment horizontal="center" vertical="center" shrinkToFit="1"/>
    </xf>
    <xf numFmtId="176" fontId="4" fillId="4" borderId="37" xfId="0" applyNumberFormat="1" applyFont="1" applyFill="1" applyBorder="1" applyAlignment="1">
      <alignment horizontal="center" vertical="center"/>
    </xf>
    <xf numFmtId="176" fontId="4" fillId="4" borderId="40" xfId="0" applyNumberFormat="1" applyFont="1" applyFill="1" applyBorder="1" applyAlignment="1">
      <alignment horizontal="center" vertical="center"/>
    </xf>
    <xf numFmtId="0" fontId="3" fillId="0" borderId="34" xfId="0" applyFont="1" applyBorder="1" applyAlignment="1">
      <alignment horizontal="left" vertical="center" wrapText="1" shrinkToFit="1"/>
    </xf>
    <xf numFmtId="0" fontId="3" fillId="6" borderId="13" xfId="0" applyFont="1" applyFill="1" applyBorder="1" applyAlignment="1">
      <alignment horizontal="left" vertical="center" wrapText="1" shrinkToFit="1"/>
    </xf>
    <xf numFmtId="0" fontId="3" fillId="6" borderId="14" xfId="0" applyFont="1" applyFill="1" applyBorder="1" applyAlignment="1">
      <alignment horizontal="left" vertical="center" wrapText="1" shrinkToFit="1"/>
    </xf>
    <xf numFmtId="0" fontId="3" fillId="6" borderId="3" xfId="0" applyFont="1" applyFill="1" applyBorder="1" applyAlignment="1">
      <alignment horizontal="left" vertical="center" wrapText="1" shrinkToFit="1"/>
    </xf>
    <xf numFmtId="0" fontId="3" fillId="6" borderId="13" xfId="0" applyFont="1" applyFill="1" applyBorder="1" applyAlignment="1">
      <alignment horizontal="center" vertical="center" shrinkToFit="1"/>
    </xf>
    <xf numFmtId="0" fontId="3" fillId="6" borderId="14" xfId="0" applyFont="1" applyFill="1" applyBorder="1" applyAlignment="1">
      <alignment horizontal="center" vertical="center" shrinkToFit="1"/>
    </xf>
    <xf numFmtId="0" fontId="3" fillId="0" borderId="16" xfId="0" applyFont="1" applyBorder="1" applyAlignment="1">
      <alignment horizontal="left" vertical="center" shrinkToFit="1"/>
    </xf>
    <xf numFmtId="0" fontId="3" fillId="6" borderId="13" xfId="0" applyFont="1" applyFill="1" applyBorder="1" applyAlignment="1">
      <alignment horizontal="center" vertical="center" wrapText="1" shrinkToFit="1"/>
    </xf>
    <xf numFmtId="0" fontId="3" fillId="6" borderId="16" xfId="0" applyFont="1" applyFill="1" applyBorder="1" applyAlignment="1">
      <alignment horizontal="center" vertical="center" wrapText="1" shrinkToFit="1"/>
    </xf>
    <xf numFmtId="0" fontId="3" fillId="6" borderId="14" xfId="0" applyFont="1" applyFill="1" applyBorder="1" applyAlignment="1">
      <alignment horizontal="center" vertical="center" wrapText="1" shrinkToFit="1"/>
    </xf>
    <xf numFmtId="0" fontId="3" fillId="0" borderId="24" xfId="0" applyFont="1" applyBorder="1" applyAlignment="1">
      <alignment horizontal="left" vertical="center" wrapText="1" shrinkToFit="1"/>
    </xf>
    <xf numFmtId="0" fontId="3" fillId="0" borderId="27" xfId="0" applyFont="1" applyBorder="1" applyAlignment="1">
      <alignment horizontal="left" vertical="center" wrapText="1" shrinkToFit="1"/>
    </xf>
    <xf numFmtId="0" fontId="3" fillId="6" borderId="22" xfId="0" applyFont="1" applyFill="1" applyBorder="1" applyAlignment="1">
      <alignment horizontal="center" vertical="center" shrinkToFit="1"/>
    </xf>
    <xf numFmtId="0" fontId="3" fillId="6" borderId="23" xfId="0" applyFont="1" applyFill="1" applyBorder="1" applyAlignment="1">
      <alignment horizontal="center" vertical="center" shrinkToFit="1"/>
    </xf>
    <xf numFmtId="176" fontId="4" fillId="0" borderId="5" xfId="0" applyNumberFormat="1" applyFont="1" applyBorder="1" applyAlignment="1">
      <alignment horizontal="center" vertical="center"/>
    </xf>
    <xf numFmtId="176" fontId="4" fillId="0" borderId="6" xfId="0" applyNumberFormat="1" applyFont="1" applyBorder="1" applyAlignment="1">
      <alignment horizontal="center" vertical="center"/>
    </xf>
    <xf numFmtId="176" fontId="4" fillId="0" borderId="4" xfId="0" applyNumberFormat="1" applyFont="1" applyBorder="1" applyAlignment="1">
      <alignment horizontal="center" vertical="center"/>
    </xf>
    <xf numFmtId="176" fontId="4" fillId="0" borderId="11" xfId="0" applyNumberFormat="1" applyFont="1" applyBorder="1" applyAlignment="1">
      <alignment horizontal="center" vertical="center"/>
    </xf>
    <xf numFmtId="0" fontId="3" fillId="6" borderId="13" xfId="0" applyFont="1" applyFill="1" applyBorder="1" applyAlignment="1">
      <alignment horizontal="left" vertical="center" shrinkToFit="1"/>
    </xf>
    <xf numFmtId="0" fontId="3" fillId="6" borderId="14" xfId="0" applyFont="1" applyFill="1" applyBorder="1" applyAlignment="1">
      <alignment horizontal="left" vertical="center" shrinkToFit="1"/>
    </xf>
    <xf numFmtId="0" fontId="3" fillId="0" borderId="34" xfId="0" applyFont="1" applyBorder="1" applyAlignment="1">
      <alignment horizontal="left" vertical="center" shrinkToFit="1"/>
    </xf>
  </cellXfs>
  <cellStyles count="1">
    <cellStyle name="標準" xfId="0" builtinId="0"/>
  </cellStyles>
  <dxfs count="146">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
      <font>
        <color rgb="FFFF0000"/>
      </font>
    </dxf>
    <dxf>
      <font>
        <color theme="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9EBA-FBAF-4D0A-B7D4-8096A7A0ED40}">
  <sheetPr>
    <tabColor rgb="FFFFFF00"/>
  </sheetPr>
  <dimension ref="A2:AF49"/>
  <sheetViews>
    <sheetView showGridLines="0" tabSelected="1" topLeftCell="D4" zoomScale="80" workbookViewId="0">
      <selection activeCell="X22" sqref="X22"/>
    </sheetView>
  </sheetViews>
  <sheetFormatPr defaultRowHeight="18.75" x14ac:dyDescent="0.15"/>
  <cols>
    <col min="1" max="1" width="9" style="1"/>
    <col min="2" max="2" width="26" style="2" customWidth="1"/>
    <col min="3" max="3" width="8.5" style="48" bestFit="1" customWidth="1"/>
    <col min="4" max="4" width="7.625" style="1" bestFit="1" customWidth="1"/>
    <col min="5" max="5" width="9.625" style="48" bestFit="1" customWidth="1"/>
    <col min="6" max="6" width="7.625" style="1" bestFit="1" customWidth="1"/>
    <col min="7" max="7" width="9.625" style="48" bestFit="1" customWidth="1"/>
    <col min="8" max="8" width="7.625" style="1" bestFit="1" customWidth="1"/>
    <col min="9" max="9" width="9.625" style="48" bestFit="1" customWidth="1"/>
    <col min="10" max="10" width="7.625" style="1" bestFit="1" customWidth="1"/>
    <col min="11" max="11" width="9.625" style="48" bestFit="1" customWidth="1"/>
    <col min="12" max="12" width="7.625" style="1" bestFit="1" customWidth="1"/>
    <col min="13" max="13" width="9.625" style="48" bestFit="1" customWidth="1"/>
    <col min="14" max="14" width="9.5" style="1" bestFit="1" customWidth="1"/>
    <col min="15" max="15" width="10.25" style="48" bestFit="1" customWidth="1"/>
    <col min="16" max="16" width="9.5" style="1" bestFit="1" customWidth="1"/>
    <col min="17" max="17" width="9" style="1"/>
    <col min="18" max="18" width="26" style="2" customWidth="1"/>
    <col min="19" max="19" width="8.5" style="1" bestFit="1" customWidth="1"/>
    <col min="20" max="20" width="7.625" style="1" bestFit="1" customWidth="1"/>
    <col min="21" max="21" width="9.625" style="1" bestFit="1" customWidth="1"/>
    <col min="22" max="22" width="7.625" style="1" bestFit="1" customWidth="1"/>
    <col min="23" max="23" width="9.625" style="1" bestFit="1" customWidth="1"/>
    <col min="24" max="24" width="7.625" style="1" bestFit="1" customWidth="1"/>
    <col min="25" max="25" width="9.625" style="1" bestFit="1" customWidth="1"/>
    <col min="26" max="26" width="7.625" style="1" bestFit="1" customWidth="1"/>
    <col min="27" max="27" width="9.625" style="1" customWidth="1"/>
    <col min="28" max="28" width="7.625" style="1" bestFit="1" customWidth="1"/>
    <col min="29" max="29" width="9.625" style="1" bestFit="1" customWidth="1"/>
    <col min="30" max="30" width="7.625" style="1" bestFit="1" customWidth="1"/>
    <col min="31" max="31" width="10.25" style="1" bestFit="1" customWidth="1"/>
    <col min="32" max="32" width="7.625" style="1" bestFit="1" customWidth="1"/>
    <col min="33" max="16384" width="9" style="1"/>
  </cols>
  <sheetData>
    <row r="2" spans="1:32" ht="19.5" thickBot="1" x14ac:dyDescent="0.2"/>
    <row r="3" spans="1:32" ht="19.5" thickBot="1" x14ac:dyDescent="0.2">
      <c r="C3" s="94">
        <v>2019</v>
      </c>
      <c r="D3" s="95"/>
      <c r="E3" s="94">
        <v>2020</v>
      </c>
      <c r="F3" s="95"/>
      <c r="G3" s="94">
        <v>2021</v>
      </c>
      <c r="H3" s="95"/>
      <c r="I3" s="94">
        <v>2022</v>
      </c>
      <c r="J3" s="95"/>
      <c r="K3" s="94">
        <v>2023</v>
      </c>
      <c r="L3" s="95"/>
      <c r="M3" s="94">
        <v>2024</v>
      </c>
      <c r="N3" s="95"/>
      <c r="O3" s="94">
        <v>2025</v>
      </c>
      <c r="P3" s="95"/>
      <c r="S3" s="94">
        <v>2019</v>
      </c>
      <c r="T3" s="95"/>
      <c r="U3" s="94">
        <v>2020</v>
      </c>
      <c r="V3" s="95"/>
      <c r="W3" s="94">
        <v>2021</v>
      </c>
      <c r="X3" s="95"/>
      <c r="Y3" s="94">
        <v>2022</v>
      </c>
      <c r="Z3" s="95"/>
      <c r="AA3" s="94">
        <v>2023</v>
      </c>
      <c r="AB3" s="95"/>
      <c r="AC3" s="94">
        <v>2024</v>
      </c>
      <c r="AD3" s="95"/>
      <c r="AE3" s="94">
        <v>2025</v>
      </c>
      <c r="AF3" s="95"/>
    </row>
    <row r="4" spans="1:32" x14ac:dyDescent="0.15">
      <c r="C4" s="64" t="s">
        <v>213</v>
      </c>
      <c r="D4" s="14" t="s">
        <v>214</v>
      </c>
      <c r="E4" s="64" t="s">
        <v>213</v>
      </c>
      <c r="F4" s="14" t="s">
        <v>214</v>
      </c>
      <c r="G4" s="64" t="s">
        <v>213</v>
      </c>
      <c r="H4" s="14" t="s">
        <v>214</v>
      </c>
      <c r="I4" s="64" t="s">
        <v>213</v>
      </c>
      <c r="J4" s="14" t="s">
        <v>214</v>
      </c>
      <c r="K4" s="64" t="s">
        <v>213</v>
      </c>
      <c r="L4" s="14" t="s">
        <v>214</v>
      </c>
      <c r="M4" s="64" t="s">
        <v>213</v>
      </c>
      <c r="N4" s="14" t="s">
        <v>214</v>
      </c>
      <c r="O4" s="64" t="s">
        <v>213</v>
      </c>
      <c r="P4" s="14" t="s">
        <v>214</v>
      </c>
      <c r="S4" s="64" t="s">
        <v>213</v>
      </c>
      <c r="T4" s="14" t="s">
        <v>214</v>
      </c>
      <c r="U4" s="64" t="s">
        <v>213</v>
      </c>
      <c r="V4" s="14" t="s">
        <v>214</v>
      </c>
      <c r="W4" s="64" t="s">
        <v>213</v>
      </c>
      <c r="X4" s="14" t="s">
        <v>214</v>
      </c>
      <c r="Y4" s="64" t="s">
        <v>213</v>
      </c>
      <c r="Z4" s="14" t="s">
        <v>214</v>
      </c>
      <c r="AA4" s="64" t="s">
        <v>213</v>
      </c>
      <c r="AB4" s="14" t="s">
        <v>214</v>
      </c>
      <c r="AC4" s="64" t="s">
        <v>213</v>
      </c>
      <c r="AD4" s="14" t="s">
        <v>214</v>
      </c>
      <c r="AE4" s="64" t="s">
        <v>213</v>
      </c>
      <c r="AF4" s="14" t="s">
        <v>214</v>
      </c>
    </row>
    <row r="5" spans="1:32" ht="38.25" thickBot="1" x14ac:dyDescent="0.2">
      <c r="C5" s="15" t="s">
        <v>211</v>
      </c>
      <c r="D5" s="49" t="s">
        <v>212</v>
      </c>
      <c r="E5" s="15" t="s">
        <v>211</v>
      </c>
      <c r="F5" s="49" t="s">
        <v>212</v>
      </c>
      <c r="G5" s="15" t="s">
        <v>211</v>
      </c>
      <c r="H5" s="49" t="s">
        <v>212</v>
      </c>
      <c r="I5" s="15" t="s">
        <v>211</v>
      </c>
      <c r="J5" s="49" t="s">
        <v>212</v>
      </c>
      <c r="K5" s="15" t="s">
        <v>211</v>
      </c>
      <c r="L5" s="49" t="s">
        <v>212</v>
      </c>
      <c r="M5" s="15" t="s">
        <v>211</v>
      </c>
      <c r="N5" s="49" t="s">
        <v>212</v>
      </c>
      <c r="O5" s="15" t="s">
        <v>211</v>
      </c>
      <c r="P5" s="49" t="s">
        <v>212</v>
      </c>
      <c r="S5" s="15" t="s">
        <v>211</v>
      </c>
      <c r="T5" s="49" t="s">
        <v>212</v>
      </c>
      <c r="U5" s="15" t="s">
        <v>211</v>
      </c>
      <c r="V5" s="49" t="s">
        <v>212</v>
      </c>
      <c r="W5" s="15" t="s">
        <v>211</v>
      </c>
      <c r="X5" s="49" t="s">
        <v>212</v>
      </c>
      <c r="Y5" s="15" t="s">
        <v>211</v>
      </c>
      <c r="Z5" s="49" t="s">
        <v>212</v>
      </c>
      <c r="AA5" s="15" t="s">
        <v>211</v>
      </c>
      <c r="AB5" s="49" t="s">
        <v>212</v>
      </c>
      <c r="AC5" s="15" t="s">
        <v>211</v>
      </c>
      <c r="AD5" s="49" t="s">
        <v>212</v>
      </c>
      <c r="AE5" s="15" t="s">
        <v>211</v>
      </c>
      <c r="AF5" s="49" t="s">
        <v>212</v>
      </c>
    </row>
    <row r="6" spans="1:32" ht="22.5" x14ac:dyDescent="0.15">
      <c r="B6" s="111" t="s">
        <v>0</v>
      </c>
      <c r="C6" s="25">
        <v>6234</v>
      </c>
      <c r="D6" s="50">
        <v>575</v>
      </c>
      <c r="E6" s="25">
        <v>6319</v>
      </c>
      <c r="F6" s="50">
        <v>500</v>
      </c>
      <c r="G6" s="25">
        <v>6472</v>
      </c>
      <c r="H6" s="50">
        <v>392</v>
      </c>
      <c r="I6" s="25">
        <v>6078</v>
      </c>
      <c r="J6" s="50">
        <v>251</v>
      </c>
      <c r="K6" s="25">
        <v>5773</v>
      </c>
      <c r="L6" s="50">
        <v>260</v>
      </c>
      <c r="M6" s="25">
        <v>5324</v>
      </c>
      <c r="N6" s="50">
        <v>349</v>
      </c>
      <c r="O6" s="30">
        <v>4938</v>
      </c>
      <c r="P6" s="60">
        <v>502</v>
      </c>
      <c r="R6" s="104" t="s">
        <v>288</v>
      </c>
      <c r="S6" s="37"/>
      <c r="T6" s="55"/>
      <c r="U6" s="34">
        <v>210</v>
      </c>
      <c r="V6" s="56">
        <v>7</v>
      </c>
      <c r="W6" s="34">
        <v>289</v>
      </c>
      <c r="X6" s="56">
        <v>9</v>
      </c>
      <c r="Y6" s="34">
        <v>332</v>
      </c>
      <c r="Z6" s="56">
        <v>5</v>
      </c>
      <c r="AA6" s="34">
        <v>420</v>
      </c>
      <c r="AB6" s="52">
        <v>3</v>
      </c>
      <c r="AC6" s="34">
        <v>589</v>
      </c>
      <c r="AD6" s="52">
        <v>16</v>
      </c>
      <c r="AE6" s="28">
        <v>869</v>
      </c>
      <c r="AF6" s="62">
        <v>90</v>
      </c>
    </row>
    <row r="7" spans="1:32" ht="19.5" thickBot="1" x14ac:dyDescent="0.2">
      <c r="B7" s="112"/>
      <c r="C7" s="24"/>
      <c r="D7" s="51">
        <f>D6/C6</f>
        <v>9.2236124478665388E-2</v>
      </c>
      <c r="E7" s="16">
        <f>E6/C6</f>
        <v>1.0136349053577158</v>
      </c>
      <c r="F7" s="57">
        <f>F6/E6</f>
        <v>7.9126444057604051E-2</v>
      </c>
      <c r="G7" s="16">
        <f>G6/E6</f>
        <v>1.0242126918816268</v>
      </c>
      <c r="H7" s="57">
        <f>H6/G6</f>
        <v>6.0568603213844253E-2</v>
      </c>
      <c r="I7" s="46">
        <f>I6/G6</f>
        <v>0.93912237330037085</v>
      </c>
      <c r="J7" s="57">
        <f>J6/I6</f>
        <v>4.1296479104968739E-2</v>
      </c>
      <c r="K7" s="46">
        <f>K6/I6</f>
        <v>0.94981901941428104</v>
      </c>
      <c r="L7" s="57">
        <f>L6/K6</f>
        <v>4.5037242335007797E-2</v>
      </c>
      <c r="M7" s="46">
        <f>M6/K6</f>
        <v>0.92222414689069809</v>
      </c>
      <c r="N7" s="57">
        <f>N6/M6</f>
        <v>6.5552216378662653E-2</v>
      </c>
      <c r="O7" s="46">
        <f>O6/M6</f>
        <v>0.92749812171299773</v>
      </c>
      <c r="P7" s="57">
        <f>P6/O6</f>
        <v>0.1016605913325233</v>
      </c>
      <c r="R7" s="99"/>
      <c r="S7" s="100"/>
      <c r="T7" s="101"/>
      <c r="U7" s="19"/>
      <c r="V7" s="53">
        <f>V6/U6</f>
        <v>3.3333333333333333E-2</v>
      </c>
      <c r="W7" s="47">
        <f>W6/U6</f>
        <v>1.3761904761904762</v>
      </c>
      <c r="X7" s="53">
        <f>X6/W6</f>
        <v>3.1141868512110725E-2</v>
      </c>
      <c r="Y7" s="47">
        <f>Y6/W6</f>
        <v>1.1487889273356402</v>
      </c>
      <c r="Z7" s="53">
        <f>Z6/Y6</f>
        <v>1.5060240963855422E-2</v>
      </c>
      <c r="AA7" s="47">
        <f>AA6/Y6</f>
        <v>1.2650602409638554</v>
      </c>
      <c r="AB7" s="53">
        <f>AB6/AA6</f>
        <v>7.1428571428571426E-3</v>
      </c>
      <c r="AC7" s="47">
        <f>AC6/AA6</f>
        <v>1.4023809523809523</v>
      </c>
      <c r="AD7" s="53">
        <f>AD6/AC6</f>
        <v>2.7164685908319185E-2</v>
      </c>
      <c r="AE7" s="47">
        <f>AE6/AC6</f>
        <v>1.4753820033955858</v>
      </c>
      <c r="AF7" s="53">
        <f>AF6/AE6</f>
        <v>0.10356731875719218</v>
      </c>
    </row>
    <row r="8" spans="1:32" ht="22.5" x14ac:dyDescent="0.15">
      <c r="B8" s="111" t="s">
        <v>1</v>
      </c>
      <c r="C8" s="25">
        <v>5562</v>
      </c>
      <c r="D8" s="50">
        <v>251</v>
      </c>
      <c r="E8" s="25">
        <v>5957</v>
      </c>
      <c r="F8" s="50">
        <v>239</v>
      </c>
      <c r="G8" s="25">
        <v>6049</v>
      </c>
      <c r="H8" s="50">
        <v>170</v>
      </c>
      <c r="I8" s="25">
        <v>5626</v>
      </c>
      <c r="J8" s="50">
        <v>119</v>
      </c>
      <c r="K8" s="25">
        <v>4976</v>
      </c>
      <c r="L8" s="50">
        <v>123</v>
      </c>
      <c r="M8" s="25">
        <v>4417</v>
      </c>
      <c r="N8" s="50">
        <v>172</v>
      </c>
      <c r="O8" s="31">
        <v>4188</v>
      </c>
      <c r="P8" s="61">
        <v>233</v>
      </c>
      <c r="R8" s="106" t="s">
        <v>6</v>
      </c>
      <c r="S8" s="26">
        <v>1108</v>
      </c>
      <c r="T8" s="52">
        <v>0</v>
      </c>
      <c r="U8" s="26">
        <v>1295</v>
      </c>
      <c r="V8" s="52">
        <v>0</v>
      </c>
      <c r="W8" s="26">
        <v>1413</v>
      </c>
      <c r="X8" s="52">
        <v>0</v>
      </c>
      <c r="Y8" s="26">
        <v>1406</v>
      </c>
      <c r="Z8" s="52">
        <v>0</v>
      </c>
      <c r="AA8" s="26">
        <v>1274</v>
      </c>
      <c r="AB8" s="52">
        <v>0</v>
      </c>
      <c r="AC8" s="26">
        <v>1162</v>
      </c>
      <c r="AD8" s="52">
        <v>0</v>
      </c>
      <c r="AE8" s="28">
        <v>1102</v>
      </c>
      <c r="AF8" s="62">
        <v>0</v>
      </c>
    </row>
    <row r="9" spans="1:32" ht="19.5" thickBot="1" x14ac:dyDescent="0.2">
      <c r="B9" s="112"/>
      <c r="C9" s="24"/>
      <c r="D9" s="51">
        <f>D8/C8</f>
        <v>4.5127651923768428E-2</v>
      </c>
      <c r="E9" s="16">
        <f>E8/C8</f>
        <v>1.0710176195613088</v>
      </c>
      <c r="F9" s="57">
        <f>F8/E8</f>
        <v>4.0120866207822729E-2</v>
      </c>
      <c r="G9" s="16">
        <f>G8/E8</f>
        <v>1.0154440154440154</v>
      </c>
      <c r="H9" s="57">
        <f>H8/G8</f>
        <v>2.8103818813026947E-2</v>
      </c>
      <c r="I9" s="46">
        <f>I8/G8</f>
        <v>0.93007108612993883</v>
      </c>
      <c r="J9" s="57">
        <f>J8/I8</f>
        <v>2.1151795236402416E-2</v>
      </c>
      <c r="K9" s="46">
        <f>K8/I8</f>
        <v>0.8844649840028439</v>
      </c>
      <c r="L9" s="57">
        <f>L8/K8</f>
        <v>2.4718649517684887E-2</v>
      </c>
      <c r="M9" s="46">
        <f>M8/K8</f>
        <v>0.88766077170418012</v>
      </c>
      <c r="N9" s="57">
        <f>N8/M8</f>
        <v>3.8940457323975552E-2</v>
      </c>
      <c r="O9" s="46">
        <f>O8/M8</f>
        <v>0.94815485623726514</v>
      </c>
      <c r="P9" s="57">
        <f>P8/O8</f>
        <v>5.563514804202483E-2</v>
      </c>
      <c r="R9" s="107"/>
      <c r="S9" s="19"/>
      <c r="T9" s="53">
        <f>T8/S8</f>
        <v>0</v>
      </c>
      <c r="U9" s="21">
        <f>U8/S8</f>
        <v>1.1687725631768953</v>
      </c>
      <c r="V9" s="53">
        <f>V8/U8</f>
        <v>0</v>
      </c>
      <c r="W9" s="21">
        <f>W8/U8</f>
        <v>1.0911196911196912</v>
      </c>
      <c r="X9" s="53">
        <f>X8/W8</f>
        <v>0</v>
      </c>
      <c r="Y9" s="45">
        <f>Y8/W8</f>
        <v>0.99504600141542821</v>
      </c>
      <c r="Z9" s="53">
        <f>Z8/Y8</f>
        <v>0</v>
      </c>
      <c r="AA9" s="45">
        <f>AA8/Y8</f>
        <v>0.90611664295874828</v>
      </c>
      <c r="AB9" s="53">
        <f>AB8/AA8</f>
        <v>0</v>
      </c>
      <c r="AC9" s="45">
        <f>AC8/AA8</f>
        <v>0.91208791208791207</v>
      </c>
      <c r="AD9" s="53">
        <f>AD8/AC8</f>
        <v>0</v>
      </c>
      <c r="AE9" s="47">
        <f>AE8/AC8</f>
        <v>0.94836488812392428</v>
      </c>
      <c r="AF9" s="53">
        <f>AF8/AE8</f>
        <v>0</v>
      </c>
    </row>
    <row r="10" spans="1:32" ht="22.5" x14ac:dyDescent="0.15">
      <c r="B10" s="106" t="s">
        <v>3</v>
      </c>
      <c r="C10" s="26">
        <v>3145</v>
      </c>
      <c r="D10" s="52">
        <v>978</v>
      </c>
      <c r="E10" s="26">
        <v>3462</v>
      </c>
      <c r="F10" s="52">
        <v>917</v>
      </c>
      <c r="G10" s="26">
        <v>3583</v>
      </c>
      <c r="H10" s="52">
        <v>687</v>
      </c>
      <c r="I10" s="26">
        <v>3536</v>
      </c>
      <c r="J10" s="52">
        <v>544</v>
      </c>
      <c r="K10" s="26">
        <v>3576</v>
      </c>
      <c r="L10" s="52">
        <v>432</v>
      </c>
      <c r="M10" s="26">
        <v>3509</v>
      </c>
      <c r="N10" s="52">
        <v>517</v>
      </c>
      <c r="O10" s="28">
        <v>3451</v>
      </c>
      <c r="P10" s="62">
        <v>707</v>
      </c>
      <c r="R10" s="106" t="s">
        <v>7</v>
      </c>
      <c r="S10" s="35"/>
      <c r="T10" s="54"/>
      <c r="U10" s="35"/>
      <c r="V10" s="54"/>
      <c r="W10" s="26">
        <v>1431</v>
      </c>
      <c r="X10" s="52">
        <v>5</v>
      </c>
      <c r="Y10" s="26">
        <v>1424</v>
      </c>
      <c r="Z10" s="52">
        <v>1</v>
      </c>
      <c r="AA10" s="26">
        <v>1223</v>
      </c>
      <c r="AB10" s="52">
        <v>3</v>
      </c>
      <c r="AC10" s="26">
        <v>1136</v>
      </c>
      <c r="AD10" s="52">
        <v>8</v>
      </c>
      <c r="AE10" s="28">
        <v>1085</v>
      </c>
      <c r="AF10" s="62">
        <v>13</v>
      </c>
    </row>
    <row r="11" spans="1:32" ht="19.5" thickBot="1" x14ac:dyDescent="0.2">
      <c r="B11" s="107"/>
      <c r="C11" s="19"/>
      <c r="D11" s="53">
        <f>D10/C10</f>
        <v>0.3109697933227345</v>
      </c>
      <c r="E11" s="47">
        <f>E10/C10</f>
        <v>1.1007949125596184</v>
      </c>
      <c r="F11" s="53">
        <f>F10/E10</f>
        <v>0.26487579433853264</v>
      </c>
      <c r="G11" s="21">
        <f>G10/E10</f>
        <v>1.0349508954361641</v>
      </c>
      <c r="H11" s="53">
        <f>H10/G10</f>
        <v>0.19173876639687412</v>
      </c>
      <c r="I11" s="45">
        <f>I10/G10</f>
        <v>0.98688250069773931</v>
      </c>
      <c r="J11" s="53">
        <f>J10/I10</f>
        <v>0.15384615384615385</v>
      </c>
      <c r="K11" s="21">
        <f>K10/I10</f>
        <v>1.0113122171945701</v>
      </c>
      <c r="L11" s="53">
        <f>L10/K10</f>
        <v>0.12080536912751678</v>
      </c>
      <c r="M11" s="45">
        <f>M10/K10</f>
        <v>0.98126398210290833</v>
      </c>
      <c r="N11" s="53">
        <f>N10/M10</f>
        <v>0.14733542319749215</v>
      </c>
      <c r="O11" s="45">
        <f>O10/M10</f>
        <v>0.98347107438016534</v>
      </c>
      <c r="P11" s="53">
        <f>P10/O10</f>
        <v>0.20486815415821502</v>
      </c>
      <c r="R11" s="107"/>
      <c r="S11" s="102"/>
      <c r="T11" s="103"/>
      <c r="U11" s="102"/>
      <c r="V11" s="103"/>
      <c r="W11" s="19"/>
      <c r="X11" s="53">
        <f>X10/W10</f>
        <v>3.4940600978336828E-3</v>
      </c>
      <c r="Y11" s="45">
        <f>Y10/W10</f>
        <v>0.99510831586303283</v>
      </c>
      <c r="Z11" s="53">
        <f>Z10/Y10</f>
        <v>7.0224719101123594E-4</v>
      </c>
      <c r="AA11" s="45">
        <f>AA10/Y10</f>
        <v>0.8588483146067416</v>
      </c>
      <c r="AB11" s="53">
        <f>AB10/AA10</f>
        <v>2.4529844644317253E-3</v>
      </c>
      <c r="AC11" s="45">
        <f>AC10/AA10</f>
        <v>0.92886345053148001</v>
      </c>
      <c r="AD11" s="53">
        <f>AD10/AC10</f>
        <v>7.0422535211267607E-3</v>
      </c>
      <c r="AE11" s="45">
        <f>AE10/AC10</f>
        <v>0.95510563380281688</v>
      </c>
      <c r="AF11" s="53">
        <f>AF10/AE10</f>
        <v>1.1981566820276499E-2</v>
      </c>
    </row>
    <row r="12" spans="1:32" s="5" customFormat="1" ht="22.5" x14ac:dyDescent="0.15">
      <c r="A12" s="1"/>
      <c r="B12" s="106" t="s">
        <v>276</v>
      </c>
      <c r="C12" s="23"/>
      <c r="D12" s="7"/>
      <c r="E12" s="23"/>
      <c r="F12" s="7"/>
      <c r="G12" s="26">
        <v>3083</v>
      </c>
      <c r="H12" s="52">
        <v>532</v>
      </c>
      <c r="I12" s="26">
        <v>3065</v>
      </c>
      <c r="J12" s="52">
        <v>384</v>
      </c>
      <c r="K12" s="26">
        <v>2968</v>
      </c>
      <c r="L12" s="52">
        <v>392</v>
      </c>
      <c r="M12" s="26">
        <v>2908</v>
      </c>
      <c r="N12" s="52">
        <v>579</v>
      </c>
      <c r="O12" s="26">
        <v>2870</v>
      </c>
      <c r="P12" s="52">
        <v>790</v>
      </c>
      <c r="R12" s="98" t="s">
        <v>66</v>
      </c>
      <c r="S12" s="37"/>
      <c r="T12" s="55"/>
      <c r="U12" s="34">
        <v>945</v>
      </c>
      <c r="V12" s="56"/>
      <c r="W12" s="34">
        <v>999</v>
      </c>
      <c r="X12" s="56">
        <v>1</v>
      </c>
      <c r="Y12" s="34">
        <v>1035</v>
      </c>
      <c r="Z12" s="56">
        <v>0</v>
      </c>
      <c r="AA12" s="34">
        <v>1037</v>
      </c>
      <c r="AB12" s="52">
        <v>0</v>
      </c>
      <c r="AC12" s="34">
        <v>1003</v>
      </c>
      <c r="AD12" s="52">
        <v>0</v>
      </c>
      <c r="AE12" s="28">
        <v>891</v>
      </c>
      <c r="AF12" s="62">
        <v>2</v>
      </c>
    </row>
    <row r="13" spans="1:32" ht="19.5" thickBot="1" x14ac:dyDescent="0.2">
      <c r="B13" s="107"/>
      <c r="C13" s="102"/>
      <c r="D13" s="103"/>
      <c r="E13" s="102"/>
      <c r="F13" s="103"/>
      <c r="G13" s="19"/>
      <c r="H13" s="53">
        <f>H12/G12</f>
        <v>0.1725591955887123</v>
      </c>
      <c r="I13" s="45">
        <f>I12/G12</f>
        <v>0.99416153097632176</v>
      </c>
      <c r="J13" s="53">
        <f>J12/I12</f>
        <v>0.12528548123980424</v>
      </c>
      <c r="K13" s="45">
        <f>K12/I12</f>
        <v>0.9683523654159869</v>
      </c>
      <c r="L13" s="53">
        <f>L12/K12</f>
        <v>0.13207547169811321</v>
      </c>
      <c r="M13" s="45">
        <f>M12/K12</f>
        <v>0.97978436657681944</v>
      </c>
      <c r="N13" s="53">
        <f>N12/M12</f>
        <v>0.19910591471801925</v>
      </c>
      <c r="O13" s="45">
        <f>O12/M12</f>
        <v>0.98693259972489689</v>
      </c>
      <c r="P13" s="53">
        <f>P12/O12</f>
        <v>0.27526132404181186</v>
      </c>
      <c r="R13" s="99"/>
      <c r="S13" s="101"/>
      <c r="T13" s="113"/>
      <c r="U13" s="19"/>
      <c r="V13" s="53">
        <f>V12/U12</f>
        <v>0</v>
      </c>
      <c r="W13" s="47">
        <f>W12/U12</f>
        <v>1.0571428571428572</v>
      </c>
      <c r="X13" s="53">
        <f>X12/W12</f>
        <v>1.001001001001001E-3</v>
      </c>
      <c r="Y13" s="47">
        <f>Y12/W12</f>
        <v>1.0360360360360361</v>
      </c>
      <c r="Z13" s="53">
        <f>Z12/Y12</f>
        <v>0</v>
      </c>
      <c r="AA13" s="47">
        <f>AA12/Y12</f>
        <v>1.0019323671497584</v>
      </c>
      <c r="AB13" s="53">
        <f>AB12/AA12</f>
        <v>0</v>
      </c>
      <c r="AC13" s="47">
        <f>AC12/AA12</f>
        <v>0.96721311475409832</v>
      </c>
      <c r="AD13" s="53">
        <f>AD12/AC12</f>
        <v>0</v>
      </c>
      <c r="AE13" s="47">
        <f>AE12/AC12</f>
        <v>0.88833499501495516</v>
      </c>
      <c r="AF13" s="53">
        <f>AF12/AE12</f>
        <v>2.2446689113355782E-3</v>
      </c>
    </row>
    <row r="14" spans="1:32" ht="22.5" x14ac:dyDescent="0.15">
      <c r="B14" s="109" t="s">
        <v>363</v>
      </c>
      <c r="C14" s="35"/>
      <c r="D14" s="54"/>
      <c r="E14" s="34">
        <v>2373</v>
      </c>
      <c r="F14" s="56">
        <v>254</v>
      </c>
      <c r="G14" s="34">
        <v>2254</v>
      </c>
      <c r="H14" s="56">
        <v>188</v>
      </c>
      <c r="I14" s="34">
        <v>2054</v>
      </c>
      <c r="J14" s="56">
        <v>153</v>
      </c>
      <c r="K14" s="34">
        <v>2010</v>
      </c>
      <c r="L14" s="52">
        <v>205</v>
      </c>
      <c r="M14" s="34">
        <v>1921</v>
      </c>
      <c r="N14" s="52">
        <v>252</v>
      </c>
      <c r="O14" s="36">
        <v>1709</v>
      </c>
      <c r="P14" s="65">
        <v>265</v>
      </c>
      <c r="R14" s="109" t="s">
        <v>277</v>
      </c>
      <c r="S14" s="37"/>
      <c r="T14" s="55"/>
      <c r="U14" s="38"/>
      <c r="V14" s="55"/>
      <c r="W14" s="34">
        <v>1504</v>
      </c>
      <c r="X14" s="56">
        <v>135</v>
      </c>
      <c r="Y14" s="34">
        <v>1326</v>
      </c>
      <c r="Z14" s="56">
        <v>81</v>
      </c>
      <c r="AA14" s="34">
        <v>1188</v>
      </c>
      <c r="AB14" s="52">
        <v>92</v>
      </c>
      <c r="AC14" s="34">
        <v>1087</v>
      </c>
      <c r="AD14" s="52">
        <v>125</v>
      </c>
      <c r="AE14" s="28">
        <v>921</v>
      </c>
      <c r="AF14" s="65">
        <v>149</v>
      </c>
    </row>
    <row r="15" spans="1:32" ht="19.5" thickBot="1" x14ac:dyDescent="0.2">
      <c r="B15" s="110"/>
      <c r="C15" s="102"/>
      <c r="D15" s="103"/>
      <c r="E15" s="19"/>
      <c r="F15" s="53">
        <f>F14/E14</f>
        <v>0.10703750526759376</v>
      </c>
      <c r="G15" s="47">
        <f>G14/E14</f>
        <v>0.94985250737463123</v>
      </c>
      <c r="H15" s="53">
        <f>H14/G14</f>
        <v>8.34072759538598E-2</v>
      </c>
      <c r="I15" s="47">
        <f>I14/G14</f>
        <v>0.91126885536823421</v>
      </c>
      <c r="J15" s="53">
        <f>J14/I14</f>
        <v>7.4488802336903609E-2</v>
      </c>
      <c r="K15" s="47">
        <f>K14/I14</f>
        <v>0.97857838364167482</v>
      </c>
      <c r="L15" s="53">
        <f>L14/K14</f>
        <v>0.10199004975124377</v>
      </c>
      <c r="M15" s="47">
        <f>M14/K14</f>
        <v>0.95572139303482584</v>
      </c>
      <c r="N15" s="53">
        <f>N14/M14</f>
        <v>0.13118167621030713</v>
      </c>
      <c r="O15" s="47">
        <f>O14/M14</f>
        <v>0.88964081207704315</v>
      </c>
      <c r="P15" s="63">
        <f>P14/O14</f>
        <v>0.155061439438268</v>
      </c>
      <c r="R15" s="110"/>
      <c r="S15" s="101"/>
      <c r="T15" s="113"/>
      <c r="U15" s="113"/>
      <c r="V15" s="113"/>
      <c r="W15" s="19"/>
      <c r="X15" s="53">
        <f>X14/W14</f>
        <v>8.9760638297872342E-2</v>
      </c>
      <c r="Y15" s="47">
        <f>Y14/W14</f>
        <v>0.88164893617021278</v>
      </c>
      <c r="Z15" s="53">
        <f>Z14/Y14</f>
        <v>6.1085972850678731E-2</v>
      </c>
      <c r="AA15" s="47">
        <f>AA14/Y14</f>
        <v>0.89592760180995479</v>
      </c>
      <c r="AB15" s="53">
        <f>AB14/AA14</f>
        <v>7.7441077441077436E-2</v>
      </c>
      <c r="AC15" s="47">
        <f>AC14/AA14</f>
        <v>0.91498316498316501</v>
      </c>
      <c r="AD15" s="53">
        <f>AD14/AC14</f>
        <v>0.11499540018399264</v>
      </c>
      <c r="AE15" s="47">
        <f>AE14/AC14</f>
        <v>0.84728610855565778</v>
      </c>
      <c r="AF15" s="63">
        <f>AF14/AE14</f>
        <v>0.16178067318132464</v>
      </c>
    </row>
    <row r="16" spans="1:32" ht="22.5" x14ac:dyDescent="0.15">
      <c r="B16" s="106" t="s">
        <v>282</v>
      </c>
      <c r="C16" s="26">
        <v>1951</v>
      </c>
      <c r="D16" s="52">
        <v>473</v>
      </c>
      <c r="E16" s="35">
        <v>0</v>
      </c>
      <c r="F16" s="54">
        <v>0</v>
      </c>
      <c r="G16" s="26">
        <v>1779</v>
      </c>
      <c r="H16" s="52">
        <v>445</v>
      </c>
      <c r="I16" s="26">
        <v>1359</v>
      </c>
      <c r="J16" s="52">
        <v>307</v>
      </c>
      <c r="K16" s="26">
        <v>1245</v>
      </c>
      <c r="L16" s="52">
        <v>232</v>
      </c>
      <c r="M16" s="26">
        <v>1248</v>
      </c>
      <c r="N16" s="52">
        <v>257</v>
      </c>
      <c r="O16" s="28">
        <v>1262</v>
      </c>
      <c r="P16" s="62">
        <v>252</v>
      </c>
      <c r="R16" s="98" t="s">
        <v>11</v>
      </c>
      <c r="S16" s="37"/>
      <c r="T16" s="55"/>
      <c r="U16" s="37"/>
      <c r="V16" s="55"/>
      <c r="W16" s="34">
        <v>630</v>
      </c>
      <c r="X16" s="56">
        <v>63</v>
      </c>
      <c r="Y16" s="34">
        <v>581</v>
      </c>
      <c r="Z16" s="56">
        <v>37</v>
      </c>
      <c r="AA16" s="34">
        <v>486</v>
      </c>
      <c r="AB16" s="52">
        <v>36</v>
      </c>
      <c r="AC16" s="34">
        <v>535</v>
      </c>
      <c r="AD16" s="52">
        <v>154</v>
      </c>
      <c r="AE16" s="26">
        <v>647</v>
      </c>
      <c r="AF16" s="66">
        <v>283</v>
      </c>
    </row>
    <row r="17" spans="2:32" ht="19.5" thickBot="1" x14ac:dyDescent="0.2">
      <c r="B17" s="107"/>
      <c r="C17" s="19"/>
      <c r="D17" s="53">
        <f>D16/C16</f>
        <v>0.24243977447462839</v>
      </c>
      <c r="E17" s="102"/>
      <c r="F17" s="103"/>
      <c r="G17" s="47">
        <f>G16/C16</f>
        <v>0.91184008200922606</v>
      </c>
      <c r="H17" s="53">
        <f>H16/G16</f>
        <v>0.25014052838673412</v>
      </c>
      <c r="I17" s="45">
        <f>I16/G16</f>
        <v>0.76391231028667794</v>
      </c>
      <c r="J17" s="53">
        <f>J16/I16</f>
        <v>0.22590139808682855</v>
      </c>
      <c r="K17" s="45">
        <f>K16/I16</f>
        <v>0.91611479028697573</v>
      </c>
      <c r="L17" s="53">
        <f>L16/K16</f>
        <v>0.18634538152610441</v>
      </c>
      <c r="M17" s="47">
        <f>M16/K16</f>
        <v>1.0024096385542169</v>
      </c>
      <c r="N17" s="53">
        <f>N16/M16</f>
        <v>0.20592948717948717</v>
      </c>
      <c r="O17" s="47">
        <f>O16/M16</f>
        <v>1.0112179487179487</v>
      </c>
      <c r="P17" s="53">
        <f>P16/O16</f>
        <v>0.19968304278922344</v>
      </c>
      <c r="R17" s="99"/>
      <c r="S17" s="100"/>
      <c r="T17" s="101"/>
      <c r="U17" s="96"/>
      <c r="V17" s="97"/>
      <c r="W17" s="19"/>
      <c r="X17" s="53">
        <f>X16/W16</f>
        <v>0.1</v>
      </c>
      <c r="Y17" s="47">
        <f>Y16/W16</f>
        <v>0.92222222222222228</v>
      </c>
      <c r="Z17" s="53">
        <f>Z16/Y16</f>
        <v>6.3683304647160072E-2</v>
      </c>
      <c r="AA17" s="47">
        <f>AA16/Y16</f>
        <v>0.83648881239242689</v>
      </c>
      <c r="AB17" s="53">
        <f>AB16/AA16</f>
        <v>7.407407407407407E-2</v>
      </c>
      <c r="AC17" s="47">
        <f>AC16/AA16</f>
        <v>1.1008230452674896</v>
      </c>
      <c r="AD17" s="53">
        <f>AD16/AC16</f>
        <v>0.28785046728971964</v>
      </c>
      <c r="AE17" s="47">
        <f>AE16/AC16</f>
        <v>1.2093457943925234</v>
      </c>
      <c r="AF17" s="63">
        <f>AF16/AE16</f>
        <v>0.43740340030911901</v>
      </c>
    </row>
    <row r="18" spans="2:32" ht="18.75" customHeight="1" x14ac:dyDescent="0.15">
      <c r="B18" s="108" t="s">
        <v>278</v>
      </c>
      <c r="C18" s="26">
        <v>659</v>
      </c>
      <c r="D18" s="52">
        <v>0</v>
      </c>
      <c r="E18" s="26">
        <v>744</v>
      </c>
      <c r="F18" s="52">
        <v>0</v>
      </c>
      <c r="G18" s="26">
        <v>860</v>
      </c>
      <c r="H18" s="52">
        <v>0</v>
      </c>
      <c r="I18" s="26">
        <v>860</v>
      </c>
      <c r="J18" s="52">
        <v>0</v>
      </c>
      <c r="K18" s="26">
        <v>878</v>
      </c>
      <c r="L18" s="52">
        <v>0</v>
      </c>
      <c r="M18" s="26">
        <v>884</v>
      </c>
      <c r="N18" s="52">
        <v>1</v>
      </c>
      <c r="O18" s="28">
        <v>921</v>
      </c>
      <c r="P18" s="62">
        <v>1</v>
      </c>
      <c r="R18" s="98" t="s">
        <v>94</v>
      </c>
      <c r="S18" s="37"/>
      <c r="T18" s="55"/>
      <c r="U18" s="38"/>
      <c r="V18" s="55"/>
      <c r="W18" s="34">
        <v>785</v>
      </c>
      <c r="X18" s="56">
        <v>23</v>
      </c>
      <c r="Y18" s="34">
        <v>773</v>
      </c>
      <c r="Z18" s="56">
        <v>11</v>
      </c>
      <c r="AA18" s="34">
        <v>759</v>
      </c>
      <c r="AB18" s="52">
        <v>7</v>
      </c>
      <c r="AC18" s="34">
        <v>738</v>
      </c>
      <c r="AD18" s="52">
        <v>21</v>
      </c>
      <c r="AE18" s="28">
        <v>689</v>
      </c>
      <c r="AF18" s="62">
        <v>29</v>
      </c>
    </row>
    <row r="19" spans="2:32" ht="19.5" thickBot="1" x14ac:dyDescent="0.2">
      <c r="B19" s="107"/>
      <c r="C19" s="19"/>
      <c r="D19" s="53">
        <f>D18/C18</f>
        <v>0</v>
      </c>
      <c r="E19" s="21">
        <f>E18/C18</f>
        <v>1.1289833080424887</v>
      </c>
      <c r="F19" s="53">
        <f>F18/E18</f>
        <v>0</v>
      </c>
      <c r="G19" s="21">
        <f>G18/E18</f>
        <v>1.1559139784946237</v>
      </c>
      <c r="H19" s="53">
        <f>H18/G18</f>
        <v>0</v>
      </c>
      <c r="I19" s="21">
        <f>I18/G18</f>
        <v>1</v>
      </c>
      <c r="J19" s="53">
        <f>J18/I18</f>
        <v>0</v>
      </c>
      <c r="K19" s="21">
        <f>K18/I18</f>
        <v>1.0209302325581395</v>
      </c>
      <c r="L19" s="53">
        <f>L18/K18</f>
        <v>0</v>
      </c>
      <c r="M19" s="21">
        <f>M18/K18</f>
        <v>1.0068337129840548</v>
      </c>
      <c r="N19" s="53">
        <f>N18/M18</f>
        <v>1.1312217194570137E-3</v>
      </c>
      <c r="O19" s="21">
        <f>O18/M18</f>
        <v>1.0418552036199096</v>
      </c>
      <c r="P19" s="53">
        <f>P18/O18</f>
        <v>1.0857763300760044E-3</v>
      </c>
      <c r="R19" s="99"/>
      <c r="S19" s="100"/>
      <c r="T19" s="101"/>
      <c r="U19" s="96"/>
      <c r="V19" s="97"/>
      <c r="W19" s="19"/>
      <c r="X19" s="53">
        <f>X18/W18</f>
        <v>2.9299363057324841E-2</v>
      </c>
      <c r="Y19" s="47">
        <f>Y18/W18</f>
        <v>0.98471337579617835</v>
      </c>
      <c r="Z19" s="53">
        <f>Z18/Y18</f>
        <v>1.4230271668822769E-2</v>
      </c>
      <c r="AA19" s="47">
        <f>AA18/Y18</f>
        <v>0.981888745148771</v>
      </c>
      <c r="AB19" s="53">
        <f>AB18/AA18</f>
        <v>9.22266139657444E-3</v>
      </c>
      <c r="AC19" s="47">
        <f>AC18/AA18</f>
        <v>0.97233201581027673</v>
      </c>
      <c r="AD19" s="53">
        <f>AD18/AC18</f>
        <v>2.8455284552845527E-2</v>
      </c>
      <c r="AE19" s="47">
        <f>AE18/AC18</f>
        <v>0.93360433604336046</v>
      </c>
      <c r="AF19" s="63">
        <f>AF18/AE18</f>
        <v>4.2089985486211901E-2</v>
      </c>
    </row>
    <row r="20" spans="2:32" ht="19.5" customHeight="1" x14ac:dyDescent="0.15">
      <c r="B20" s="108" t="s">
        <v>8</v>
      </c>
      <c r="C20" s="26">
        <v>651</v>
      </c>
      <c r="D20" s="52">
        <v>268</v>
      </c>
      <c r="E20" s="26">
        <v>723</v>
      </c>
      <c r="F20" s="52">
        <v>242</v>
      </c>
      <c r="G20" s="26">
        <v>794</v>
      </c>
      <c r="H20" s="52">
        <v>186</v>
      </c>
      <c r="I20" s="26">
        <v>838</v>
      </c>
      <c r="J20" s="52">
        <v>123</v>
      </c>
      <c r="K20" s="26">
        <v>833</v>
      </c>
      <c r="L20" s="52">
        <v>103</v>
      </c>
      <c r="M20" s="35"/>
      <c r="N20" s="54"/>
      <c r="O20" s="28">
        <v>848</v>
      </c>
      <c r="P20" s="62">
        <v>114</v>
      </c>
      <c r="R20" s="98" t="s">
        <v>326</v>
      </c>
      <c r="S20" s="34">
        <v>635</v>
      </c>
      <c r="T20" s="56">
        <v>11</v>
      </c>
      <c r="U20" s="34">
        <v>704</v>
      </c>
      <c r="V20" s="56">
        <v>7</v>
      </c>
      <c r="W20" s="34">
        <v>802</v>
      </c>
      <c r="X20" s="52">
        <v>6</v>
      </c>
      <c r="Y20" s="34">
        <v>795</v>
      </c>
      <c r="Z20" s="56">
        <v>8</v>
      </c>
      <c r="AA20" s="34">
        <v>746</v>
      </c>
      <c r="AB20" s="52">
        <v>2</v>
      </c>
      <c r="AC20" s="34">
        <v>672</v>
      </c>
      <c r="AD20" s="52">
        <v>14</v>
      </c>
      <c r="AE20" s="28">
        <v>717</v>
      </c>
      <c r="AF20" s="62">
        <v>26</v>
      </c>
    </row>
    <row r="21" spans="2:32" ht="19.5" thickBot="1" x14ac:dyDescent="0.2">
      <c r="B21" s="107"/>
      <c r="C21" s="19"/>
      <c r="D21" s="53">
        <f>D20/C20</f>
        <v>0.4116743471582181</v>
      </c>
      <c r="E21" s="47">
        <f>E20/C20</f>
        <v>1.1105990783410138</v>
      </c>
      <c r="F21" s="53">
        <f>F20/E20</f>
        <v>0.33471645919778698</v>
      </c>
      <c r="G21" s="47">
        <f>G20/E20</f>
        <v>1.0982019363762103</v>
      </c>
      <c r="H21" s="53">
        <f>H20/G20</f>
        <v>0.23425692695214106</v>
      </c>
      <c r="I21" s="21">
        <f>I20/G20</f>
        <v>1.0554156171284634</v>
      </c>
      <c r="J21" s="53">
        <f>J20/I20</f>
        <v>0.1467780429594272</v>
      </c>
      <c r="K21" s="45">
        <f>K20/I20</f>
        <v>0.9940334128878282</v>
      </c>
      <c r="L21" s="53">
        <f>L20/K20</f>
        <v>0.12364945978391356</v>
      </c>
      <c r="M21" s="18"/>
      <c r="N21" s="58"/>
      <c r="O21" s="47">
        <f>O20/K20</f>
        <v>1.0180072028811524</v>
      </c>
      <c r="P21" s="53">
        <f>P20/O20</f>
        <v>0.13443396226415094</v>
      </c>
      <c r="R21" s="99"/>
      <c r="S21" s="19"/>
      <c r="T21" s="53">
        <f>T20/S20</f>
        <v>1.7322834645669291E-2</v>
      </c>
      <c r="U21" s="47">
        <f>U20/S20</f>
        <v>1.1086614173228346</v>
      </c>
      <c r="V21" s="53">
        <f>V20/U20</f>
        <v>9.943181818181818E-3</v>
      </c>
      <c r="W21" s="47">
        <f>W20/U20</f>
        <v>1.1392045454545454</v>
      </c>
      <c r="X21" s="53">
        <f>X20/W20</f>
        <v>7.481296758104738E-3</v>
      </c>
      <c r="Y21" s="47">
        <f>Y20/W20</f>
        <v>0.99127182044887785</v>
      </c>
      <c r="Z21" s="53">
        <f>Z20/Y20</f>
        <v>1.0062893081761006E-2</v>
      </c>
      <c r="AA21" s="47">
        <f>AA20/Y20</f>
        <v>0.93836477987421385</v>
      </c>
      <c r="AB21" s="53">
        <f>AB20/AA20</f>
        <v>2.6809651474530832E-3</v>
      </c>
      <c r="AC21" s="47">
        <f>AC20/AA20</f>
        <v>0.90080428954423597</v>
      </c>
      <c r="AD21" s="53">
        <f>AD20/AC20</f>
        <v>2.0833333333333332E-2</v>
      </c>
      <c r="AE21" s="47">
        <f>AE20/AC20</f>
        <v>1.0669642857142858</v>
      </c>
      <c r="AF21" s="63">
        <f>AF20/AE20</f>
        <v>3.626220362622036E-2</v>
      </c>
    </row>
    <row r="22" spans="2:32" ht="18.75" customHeight="1" x14ac:dyDescent="0.15">
      <c r="B22" s="106" t="s">
        <v>9</v>
      </c>
      <c r="C22" s="26">
        <v>308</v>
      </c>
      <c r="D22" s="52">
        <v>108</v>
      </c>
      <c r="E22" s="26">
        <v>348</v>
      </c>
      <c r="F22" s="52">
        <v>130</v>
      </c>
      <c r="G22" s="26">
        <v>436</v>
      </c>
      <c r="H22" s="52">
        <v>114</v>
      </c>
      <c r="I22" s="26">
        <v>483</v>
      </c>
      <c r="J22" s="52">
        <v>72</v>
      </c>
      <c r="K22" s="26">
        <v>456</v>
      </c>
      <c r="L22" s="52">
        <v>73</v>
      </c>
      <c r="M22" s="27">
        <v>428</v>
      </c>
      <c r="N22" s="59">
        <v>84</v>
      </c>
      <c r="O22" s="28">
        <v>462</v>
      </c>
      <c r="P22" s="62">
        <v>107</v>
      </c>
      <c r="R22" s="98" t="s">
        <v>279</v>
      </c>
      <c r="S22" s="37"/>
      <c r="T22" s="55"/>
      <c r="U22" s="38"/>
      <c r="V22" s="55"/>
      <c r="W22" s="34">
        <v>508</v>
      </c>
      <c r="X22" s="56">
        <v>198</v>
      </c>
      <c r="Y22" s="34">
        <v>445</v>
      </c>
      <c r="Z22" s="56">
        <v>68</v>
      </c>
      <c r="AA22" s="34">
        <v>447</v>
      </c>
      <c r="AB22" s="52">
        <v>60</v>
      </c>
      <c r="AC22" s="34">
        <v>490</v>
      </c>
      <c r="AD22" s="52">
        <v>109</v>
      </c>
      <c r="AE22" s="28">
        <v>579</v>
      </c>
      <c r="AF22" s="62">
        <v>158</v>
      </c>
    </row>
    <row r="23" spans="2:32" ht="19.5" thickBot="1" x14ac:dyDescent="0.2">
      <c r="B23" s="107"/>
      <c r="C23" s="19"/>
      <c r="D23" s="53">
        <f>D22/C22</f>
        <v>0.35064935064935066</v>
      </c>
      <c r="E23" s="47">
        <f>E22/C22</f>
        <v>1.1298701298701299</v>
      </c>
      <c r="F23" s="53">
        <f>F22/E22</f>
        <v>0.37356321839080459</v>
      </c>
      <c r="G23" s="47">
        <f>G22/E22</f>
        <v>1.2528735632183907</v>
      </c>
      <c r="H23" s="53">
        <f>H22/G22</f>
        <v>0.26146788990825687</v>
      </c>
      <c r="I23" s="47">
        <f>I22/G22</f>
        <v>1.1077981651376148</v>
      </c>
      <c r="J23" s="53">
        <f>J22/I22</f>
        <v>0.14906832298136646</v>
      </c>
      <c r="K23" s="47">
        <f>K22/I22</f>
        <v>0.94409937888198758</v>
      </c>
      <c r="L23" s="53">
        <f>L22/K22</f>
        <v>0.16008771929824561</v>
      </c>
      <c r="M23" s="47">
        <f>M22/K22</f>
        <v>0.93859649122807021</v>
      </c>
      <c r="N23" s="53">
        <f>N22/M22</f>
        <v>0.19626168224299065</v>
      </c>
      <c r="O23" s="47">
        <f>O22/M22</f>
        <v>1.0794392523364487</v>
      </c>
      <c r="P23" s="53">
        <f>P22/O22</f>
        <v>0.23160173160173161</v>
      </c>
      <c r="R23" s="99"/>
      <c r="S23" s="100"/>
      <c r="T23" s="101"/>
      <c r="U23" s="96"/>
      <c r="V23" s="97"/>
      <c r="W23" s="19"/>
      <c r="X23" s="53">
        <f>X22/W22</f>
        <v>0.38976377952755903</v>
      </c>
      <c r="Y23" s="47">
        <f>Y22/W22</f>
        <v>0.87598425196850394</v>
      </c>
      <c r="Z23" s="53">
        <f>Z22/Y22</f>
        <v>0.15280898876404495</v>
      </c>
      <c r="AA23" s="47">
        <f>AA22/Y22</f>
        <v>1.0044943820224719</v>
      </c>
      <c r="AB23" s="53">
        <f>AB22/AA22</f>
        <v>0.13422818791946309</v>
      </c>
      <c r="AC23" s="47">
        <f>AC22/AA22</f>
        <v>1.0961968680089484</v>
      </c>
      <c r="AD23" s="53">
        <f>AD22/AC22</f>
        <v>0.22244897959183674</v>
      </c>
      <c r="AE23" s="47">
        <f>AE22/AC22</f>
        <v>1.1816326530612244</v>
      </c>
      <c r="AF23" s="63">
        <f>AF22/AE22</f>
        <v>0.27288428324697755</v>
      </c>
    </row>
    <row r="24" spans="2:32" ht="18.75" customHeight="1" x14ac:dyDescent="0.15">
      <c r="B24" s="108" t="s">
        <v>344</v>
      </c>
      <c r="C24" s="26">
        <v>309</v>
      </c>
      <c r="D24" s="52">
        <v>87</v>
      </c>
      <c r="E24" s="35">
        <v>0</v>
      </c>
      <c r="F24" s="54">
        <v>0</v>
      </c>
      <c r="G24" s="26">
        <v>414</v>
      </c>
      <c r="H24" s="52">
        <v>70</v>
      </c>
      <c r="I24" s="26">
        <v>364</v>
      </c>
      <c r="J24" s="52">
        <v>48</v>
      </c>
      <c r="K24" s="26">
        <v>364</v>
      </c>
      <c r="L24" s="52">
        <v>41</v>
      </c>
      <c r="M24" s="26">
        <v>342</v>
      </c>
      <c r="N24" s="52">
        <v>30</v>
      </c>
      <c r="O24" s="28">
        <v>399</v>
      </c>
      <c r="P24" s="62">
        <v>30</v>
      </c>
      <c r="R24" s="98" t="s">
        <v>280</v>
      </c>
      <c r="S24" s="37"/>
      <c r="T24" s="55"/>
      <c r="U24" s="38"/>
      <c r="V24" s="55"/>
      <c r="W24" s="34">
        <v>949</v>
      </c>
      <c r="X24" s="56">
        <v>99</v>
      </c>
      <c r="Y24" s="34">
        <v>1036</v>
      </c>
      <c r="Z24" s="56">
        <v>95</v>
      </c>
      <c r="AA24" s="34">
        <v>1006</v>
      </c>
      <c r="AB24" s="52">
        <v>60</v>
      </c>
      <c r="AC24" s="92">
        <v>1041</v>
      </c>
      <c r="AD24" s="59">
        <v>108</v>
      </c>
      <c r="AE24" s="28">
        <v>1057</v>
      </c>
      <c r="AF24" s="62">
        <v>170</v>
      </c>
    </row>
    <row r="25" spans="2:32" ht="19.5" thickBot="1" x14ac:dyDescent="0.2">
      <c r="B25" s="107"/>
      <c r="C25" s="19"/>
      <c r="D25" s="53">
        <f>D24/C24</f>
        <v>0.28155339805825241</v>
      </c>
      <c r="E25" s="102"/>
      <c r="F25" s="103"/>
      <c r="G25" s="47">
        <f>G24/C24</f>
        <v>1.3398058252427185</v>
      </c>
      <c r="H25" s="53">
        <f>H24/G24</f>
        <v>0.16908212560386474</v>
      </c>
      <c r="I25" s="47">
        <f>I24/G24</f>
        <v>0.87922705314009664</v>
      </c>
      <c r="J25" s="53">
        <f>J24/I24</f>
        <v>0.13186813186813187</v>
      </c>
      <c r="K25" s="47">
        <f>K24/I24</f>
        <v>1</v>
      </c>
      <c r="L25" s="53">
        <f>L24/K24</f>
        <v>0.11263736263736264</v>
      </c>
      <c r="M25" s="47">
        <f>M24/K24</f>
        <v>0.93956043956043955</v>
      </c>
      <c r="N25" s="53">
        <f>N24/M24</f>
        <v>8.771929824561403E-2</v>
      </c>
      <c r="O25" s="47">
        <f>O24/M24</f>
        <v>1.1666666666666667</v>
      </c>
      <c r="P25" s="53">
        <f>P24/O24</f>
        <v>7.5187969924812026E-2</v>
      </c>
      <c r="R25" s="99"/>
      <c r="S25" s="100"/>
      <c r="T25" s="101"/>
      <c r="U25" s="96"/>
      <c r="V25" s="97"/>
      <c r="W25" s="19"/>
      <c r="X25" s="53">
        <f>X24/W24</f>
        <v>0.10432033719704953</v>
      </c>
      <c r="Y25" s="47">
        <f>Y24/W24</f>
        <v>1.0916754478398314</v>
      </c>
      <c r="Z25" s="53">
        <f>Z24/Y24</f>
        <v>9.1698841698841696E-2</v>
      </c>
      <c r="AA25" s="47">
        <f>AA24/Y24</f>
        <v>0.97104247104247099</v>
      </c>
      <c r="AB25" s="53">
        <f>AB24/AA24</f>
        <v>5.9642147117296221E-2</v>
      </c>
      <c r="AC25" s="47">
        <f>AC24/AA24</f>
        <v>1.0347912524850895</v>
      </c>
      <c r="AD25" s="53">
        <f>AD24/AC24</f>
        <v>0.1037463976945245</v>
      </c>
      <c r="AE25" s="47">
        <f>AE24/AC24</f>
        <v>1.0153698366954851</v>
      </c>
      <c r="AF25" s="63">
        <f>AF24/AE24</f>
        <v>0.16083254493850521</v>
      </c>
    </row>
    <row r="26" spans="2:32" ht="22.5" x14ac:dyDescent="0.15">
      <c r="B26" s="106" t="s">
        <v>12</v>
      </c>
      <c r="C26" s="26">
        <v>1342</v>
      </c>
      <c r="D26" s="52">
        <v>531</v>
      </c>
      <c r="E26" s="35">
        <v>0</v>
      </c>
      <c r="F26" s="54">
        <v>0</v>
      </c>
      <c r="G26" s="26">
        <v>1432</v>
      </c>
      <c r="H26" s="52">
        <v>519</v>
      </c>
      <c r="I26" s="35">
        <v>0</v>
      </c>
      <c r="J26" s="54">
        <v>0</v>
      </c>
      <c r="K26" s="26">
        <v>1043</v>
      </c>
      <c r="L26" s="52">
        <v>271</v>
      </c>
      <c r="M26" s="27">
        <v>1159</v>
      </c>
      <c r="N26" s="59">
        <v>373</v>
      </c>
      <c r="O26" s="28">
        <v>1036</v>
      </c>
      <c r="P26" s="62">
        <v>391</v>
      </c>
      <c r="R26" s="104" t="s">
        <v>281</v>
      </c>
      <c r="S26" s="37"/>
      <c r="T26" s="55"/>
      <c r="U26" s="38"/>
      <c r="V26" s="55"/>
      <c r="W26" s="34">
        <v>693</v>
      </c>
      <c r="X26" s="56">
        <v>240</v>
      </c>
      <c r="Y26" s="34">
        <v>398</v>
      </c>
      <c r="Z26" s="56">
        <v>123</v>
      </c>
      <c r="AA26" s="34">
        <v>586</v>
      </c>
      <c r="AB26" s="52">
        <v>83</v>
      </c>
      <c r="AC26" s="34">
        <v>680</v>
      </c>
      <c r="AD26" s="52">
        <v>232</v>
      </c>
      <c r="AE26" s="28">
        <v>882</v>
      </c>
      <c r="AF26" s="62">
        <v>396</v>
      </c>
    </row>
    <row r="27" spans="2:32" ht="19.5" thickBot="1" x14ac:dyDescent="0.2">
      <c r="B27" s="107"/>
      <c r="C27" s="19"/>
      <c r="D27" s="53">
        <f>D26/C26</f>
        <v>0.39567809239940388</v>
      </c>
      <c r="E27" s="102"/>
      <c r="F27" s="103"/>
      <c r="G27" s="47">
        <f>G26/C26</f>
        <v>1.067064083457526</v>
      </c>
      <c r="H27" s="53">
        <f>H26/G26</f>
        <v>0.36243016759776536</v>
      </c>
      <c r="I27" s="102"/>
      <c r="J27" s="103"/>
      <c r="K27" s="47">
        <f>K26/G26</f>
        <v>0.7283519553072626</v>
      </c>
      <c r="L27" s="53">
        <f>L26/K26</f>
        <v>0.25982742090124639</v>
      </c>
      <c r="M27" s="47">
        <f>M26/K26</f>
        <v>1.1112176414189836</v>
      </c>
      <c r="N27" s="53">
        <f>N26/M26</f>
        <v>0.32182916307161347</v>
      </c>
      <c r="O27" s="47">
        <f>O26/M26</f>
        <v>0.8938740293356342</v>
      </c>
      <c r="P27" s="53">
        <f>P26/O26</f>
        <v>0.37741312741312744</v>
      </c>
      <c r="R27" s="105"/>
      <c r="S27" s="100"/>
      <c r="T27" s="101"/>
      <c r="U27" s="96"/>
      <c r="V27" s="97"/>
      <c r="W27" s="19"/>
      <c r="X27" s="53">
        <f>X26/W26</f>
        <v>0.34632034632034631</v>
      </c>
      <c r="Y27" s="47">
        <f>Y26/W26</f>
        <v>0.57431457431457433</v>
      </c>
      <c r="Z27" s="53">
        <f>Z26/Y26</f>
        <v>0.30904522613065327</v>
      </c>
      <c r="AA27" s="47">
        <f>AA26/Y26</f>
        <v>1.4723618090452262</v>
      </c>
      <c r="AB27" s="53">
        <f>AB26/AA26</f>
        <v>0.14163822525597269</v>
      </c>
      <c r="AC27" s="47">
        <f>AC26/AA26</f>
        <v>1.1604095563139931</v>
      </c>
      <c r="AD27" s="53">
        <f>AD26/AC26</f>
        <v>0.3411764705882353</v>
      </c>
      <c r="AE27" s="47">
        <f>AE26/AC26</f>
        <v>1.2970588235294118</v>
      </c>
      <c r="AF27" s="63">
        <f>AF26/AE26</f>
        <v>0.44897959183673469</v>
      </c>
    </row>
    <row r="28" spans="2:32" ht="22.5" x14ac:dyDescent="0.15">
      <c r="B28" s="106" t="s">
        <v>10</v>
      </c>
      <c r="C28" s="35"/>
      <c r="D28" s="54"/>
      <c r="E28" s="35"/>
      <c r="F28" s="54"/>
      <c r="G28" s="26">
        <v>867</v>
      </c>
      <c r="H28" s="52">
        <v>152</v>
      </c>
      <c r="I28" s="26">
        <v>783</v>
      </c>
      <c r="J28" s="52">
        <v>106</v>
      </c>
      <c r="K28" s="26">
        <v>711</v>
      </c>
      <c r="L28" s="52">
        <v>119</v>
      </c>
      <c r="M28" s="27">
        <v>622</v>
      </c>
      <c r="N28" s="59">
        <v>113</v>
      </c>
      <c r="O28" s="28">
        <v>607</v>
      </c>
      <c r="P28" s="62">
        <v>139</v>
      </c>
      <c r="R28" s="104" t="s">
        <v>361</v>
      </c>
      <c r="S28" s="34">
        <v>1389</v>
      </c>
      <c r="T28" s="56">
        <v>4</v>
      </c>
      <c r="U28" s="34">
        <v>1593</v>
      </c>
      <c r="V28" s="56">
        <v>7</v>
      </c>
      <c r="W28" s="34">
        <v>1561</v>
      </c>
      <c r="X28" s="56">
        <v>4</v>
      </c>
      <c r="Y28" s="34">
        <v>1367</v>
      </c>
      <c r="Z28" s="56">
        <v>5</v>
      </c>
      <c r="AA28" s="34">
        <v>1187</v>
      </c>
      <c r="AB28" s="52">
        <v>4</v>
      </c>
      <c r="AC28" s="34">
        <v>1095</v>
      </c>
      <c r="AD28" s="52">
        <v>11</v>
      </c>
      <c r="AE28" s="28">
        <v>1059</v>
      </c>
      <c r="AF28" s="62">
        <v>15</v>
      </c>
    </row>
    <row r="29" spans="2:32" ht="19.5" thickBot="1" x14ac:dyDescent="0.2">
      <c r="B29" s="107"/>
      <c r="C29" s="102"/>
      <c r="D29" s="103"/>
      <c r="E29" s="102"/>
      <c r="F29" s="103"/>
      <c r="G29" s="19"/>
      <c r="H29" s="53">
        <f>H28/G28</f>
        <v>0.17531718569780855</v>
      </c>
      <c r="I29" s="47">
        <f>I28/G28</f>
        <v>0.90311418685121103</v>
      </c>
      <c r="J29" s="53">
        <f>J28/I28</f>
        <v>0.13537675606641125</v>
      </c>
      <c r="K29" s="47">
        <f>K28/I28</f>
        <v>0.90804597701149425</v>
      </c>
      <c r="L29" s="53">
        <f>L28/K28</f>
        <v>0.16736990154711673</v>
      </c>
      <c r="M29" s="47">
        <f>M28/K28</f>
        <v>0.87482419127988753</v>
      </c>
      <c r="N29" s="53">
        <f>N28/M28</f>
        <v>0.18167202572347266</v>
      </c>
      <c r="O29" s="47">
        <f>O28/M28</f>
        <v>0.97588424437299037</v>
      </c>
      <c r="P29" s="53">
        <f>P28/O28</f>
        <v>0.22899505766062603</v>
      </c>
      <c r="R29" s="99"/>
      <c r="S29" s="19"/>
      <c r="T29" s="53">
        <f>T28/S28</f>
        <v>2.8797696184305254E-3</v>
      </c>
      <c r="U29" s="47">
        <f>U28/S28</f>
        <v>1.1468682505399568</v>
      </c>
      <c r="V29" s="53">
        <f>V28/U28</f>
        <v>4.3942247332077839E-3</v>
      </c>
      <c r="W29" s="47">
        <f>W28/U28</f>
        <v>0.97991211550533586</v>
      </c>
      <c r="X29" s="53">
        <f>X28/W28</f>
        <v>2.5624599615631004E-3</v>
      </c>
      <c r="Y29" s="47">
        <f>Y28/W28</f>
        <v>0.87572069186418966</v>
      </c>
      <c r="Z29" s="53">
        <f>Z28/Y28</f>
        <v>3.6576444769568397E-3</v>
      </c>
      <c r="AA29" s="47">
        <f>AA28/Y28</f>
        <v>0.86832479882955371</v>
      </c>
      <c r="AB29" s="53">
        <f>AB28/AA28</f>
        <v>3.3698399326032012E-3</v>
      </c>
      <c r="AC29" s="47">
        <f>AC28/AA28</f>
        <v>0.92249368155012634</v>
      </c>
      <c r="AD29" s="53">
        <f>AD28/AC28</f>
        <v>1.0045662100456621E-2</v>
      </c>
      <c r="AE29" s="47">
        <f>AE28/AC28</f>
        <v>0.9671232876712329</v>
      </c>
      <c r="AF29" s="63">
        <f>AF28/AE28</f>
        <v>1.4164305949008499E-2</v>
      </c>
    </row>
    <row r="30" spans="2:32" ht="22.5" x14ac:dyDescent="0.15">
      <c r="B30" s="104" t="s">
        <v>286</v>
      </c>
      <c r="C30" s="37"/>
      <c r="D30" s="55"/>
      <c r="E30" s="38"/>
      <c r="F30" s="55"/>
      <c r="G30" s="34">
        <v>956</v>
      </c>
      <c r="H30" s="56">
        <v>58</v>
      </c>
      <c r="I30" s="34">
        <v>947</v>
      </c>
      <c r="J30" s="56">
        <v>45</v>
      </c>
      <c r="K30" s="34">
        <v>866</v>
      </c>
      <c r="L30" s="52">
        <v>38</v>
      </c>
      <c r="M30" s="34">
        <v>779</v>
      </c>
      <c r="N30" s="52">
        <v>47</v>
      </c>
      <c r="O30" s="28">
        <v>698</v>
      </c>
      <c r="P30" s="62">
        <v>57</v>
      </c>
      <c r="R30" s="104" t="s">
        <v>283</v>
      </c>
      <c r="S30" s="37"/>
      <c r="T30" s="55"/>
      <c r="U30" s="38"/>
      <c r="V30" s="55"/>
      <c r="W30" s="34">
        <v>546</v>
      </c>
      <c r="X30" s="56">
        <v>13</v>
      </c>
      <c r="Y30" s="34">
        <v>554</v>
      </c>
      <c r="Z30" s="56">
        <v>10</v>
      </c>
      <c r="AA30" s="34">
        <v>668</v>
      </c>
      <c r="AB30" s="52">
        <v>5</v>
      </c>
      <c r="AC30" s="34">
        <v>688</v>
      </c>
      <c r="AD30" s="52">
        <v>6</v>
      </c>
      <c r="AE30" s="28">
        <v>659</v>
      </c>
      <c r="AF30" s="62">
        <v>8</v>
      </c>
    </row>
    <row r="31" spans="2:32" ht="19.5" thickBot="1" x14ac:dyDescent="0.2">
      <c r="B31" s="105"/>
      <c r="C31" s="100"/>
      <c r="D31" s="101"/>
      <c r="E31" s="96"/>
      <c r="F31" s="101"/>
      <c r="G31" s="19"/>
      <c r="H31" s="53">
        <f>H30/G30</f>
        <v>6.0669456066945605E-2</v>
      </c>
      <c r="I31" s="47">
        <f>I30/G30</f>
        <v>0.9905857740585774</v>
      </c>
      <c r="J31" s="53">
        <f>J30/I30</f>
        <v>4.7518479408658922E-2</v>
      </c>
      <c r="K31" s="47">
        <f>K30/I30</f>
        <v>0.91446673706441395</v>
      </c>
      <c r="L31" s="53">
        <f>L30/K30</f>
        <v>4.3879907621247112E-2</v>
      </c>
      <c r="M31" s="47">
        <f>M30/K30</f>
        <v>0.89953810623556585</v>
      </c>
      <c r="N31" s="53">
        <f>N30/M30</f>
        <v>6.0333761232349167E-2</v>
      </c>
      <c r="O31" s="47">
        <f>O30/M30</f>
        <v>0.89602053915275992</v>
      </c>
      <c r="P31" s="53">
        <f>P30/O30</f>
        <v>8.1661891117478513E-2</v>
      </c>
      <c r="R31" s="105"/>
      <c r="S31" s="100"/>
      <c r="T31" s="101"/>
      <c r="U31" s="96"/>
      <c r="V31" s="97"/>
      <c r="W31" s="19"/>
      <c r="X31" s="53">
        <f>X30/W30</f>
        <v>2.3809523809523808E-2</v>
      </c>
      <c r="Y31" s="47">
        <f>Y30/W30</f>
        <v>1.0146520146520146</v>
      </c>
      <c r="Z31" s="53">
        <f>Z30/Y30</f>
        <v>1.8050541516245487E-2</v>
      </c>
      <c r="AA31" s="47">
        <f>AA30/Y30</f>
        <v>1.2057761732851986</v>
      </c>
      <c r="AB31" s="53">
        <f>AB30/AA30</f>
        <v>7.4850299401197605E-3</v>
      </c>
      <c r="AC31" s="47">
        <f>AC30/AA30</f>
        <v>1.0299401197604789</v>
      </c>
      <c r="AD31" s="53">
        <f>AD30/AC30</f>
        <v>8.7209302325581394E-3</v>
      </c>
      <c r="AE31" s="47">
        <f>AE30/AC30</f>
        <v>0.95784883720930236</v>
      </c>
      <c r="AF31" s="63">
        <f>AF30/AE30</f>
        <v>1.2139605462822459E-2</v>
      </c>
    </row>
    <row r="32" spans="2:32" ht="22.5" x14ac:dyDescent="0.15">
      <c r="B32" s="98" t="s">
        <v>105</v>
      </c>
      <c r="C32" s="37"/>
      <c r="D32" s="55"/>
      <c r="E32" s="37"/>
      <c r="F32" s="55"/>
      <c r="G32" s="34">
        <v>872</v>
      </c>
      <c r="H32" s="56">
        <v>91</v>
      </c>
      <c r="I32" s="34">
        <v>812</v>
      </c>
      <c r="J32" s="56">
        <v>82</v>
      </c>
      <c r="K32" s="37"/>
      <c r="L32" s="55"/>
      <c r="M32" s="34">
        <v>816</v>
      </c>
      <c r="N32" s="52">
        <v>107</v>
      </c>
      <c r="O32" s="28">
        <v>809</v>
      </c>
      <c r="P32" s="62">
        <v>131</v>
      </c>
      <c r="R32" s="104" t="s">
        <v>284</v>
      </c>
      <c r="S32" s="37"/>
      <c r="T32" s="55"/>
      <c r="U32" s="37"/>
      <c r="V32" s="55"/>
      <c r="W32" s="34">
        <v>712</v>
      </c>
      <c r="X32" s="56">
        <v>14</v>
      </c>
      <c r="Y32" s="34">
        <v>507</v>
      </c>
      <c r="Z32" s="56">
        <v>6</v>
      </c>
      <c r="AA32" s="34">
        <v>425</v>
      </c>
      <c r="AB32" s="52">
        <v>4</v>
      </c>
      <c r="AC32" s="34">
        <v>419</v>
      </c>
      <c r="AD32" s="52">
        <v>7</v>
      </c>
      <c r="AE32" s="28">
        <v>431</v>
      </c>
      <c r="AF32" s="62">
        <v>4</v>
      </c>
    </row>
    <row r="33" spans="2:32" ht="19.5" thickBot="1" x14ac:dyDescent="0.2">
      <c r="B33" s="99"/>
      <c r="C33" s="100"/>
      <c r="D33" s="101"/>
      <c r="E33" s="96"/>
      <c r="F33" s="97"/>
      <c r="G33" s="19"/>
      <c r="H33" s="53">
        <f>H32/G32</f>
        <v>0.10435779816513761</v>
      </c>
      <c r="I33" s="47">
        <f>I32/G32</f>
        <v>0.93119266055045868</v>
      </c>
      <c r="J33" s="53">
        <f>J32/I32</f>
        <v>0.10098522167487685</v>
      </c>
      <c r="K33" s="96"/>
      <c r="L33" s="97"/>
      <c r="M33" s="47">
        <f>M32/I32</f>
        <v>1.0049261083743843</v>
      </c>
      <c r="N33" s="53">
        <f>N32/M32</f>
        <v>0.13112745098039216</v>
      </c>
      <c r="O33" s="47">
        <f>O32/M32</f>
        <v>0.99142156862745101</v>
      </c>
      <c r="P33" s="63">
        <f>P32/O32</f>
        <v>0.16192830655129789</v>
      </c>
      <c r="R33" s="105"/>
      <c r="S33" s="100"/>
      <c r="T33" s="97"/>
      <c r="U33" s="100"/>
      <c r="V33" s="97"/>
      <c r="W33" s="19"/>
      <c r="X33" s="53">
        <f>X32/W32</f>
        <v>1.9662921348314606E-2</v>
      </c>
      <c r="Y33" s="47">
        <f>Y32/W32</f>
        <v>0.7120786516853933</v>
      </c>
      <c r="Z33" s="53">
        <f>Z32/Y32</f>
        <v>1.1834319526627219E-2</v>
      </c>
      <c r="AA33" s="47">
        <f>AA32/Y32</f>
        <v>0.83826429980276129</v>
      </c>
      <c r="AB33" s="53">
        <f>AB32/AA32</f>
        <v>9.4117647058823521E-3</v>
      </c>
      <c r="AC33" s="47">
        <f>AC32/AA32</f>
        <v>0.98588235294117643</v>
      </c>
      <c r="AD33" s="53">
        <f>AD32/AC32</f>
        <v>1.6706443914081145E-2</v>
      </c>
      <c r="AE33" s="47">
        <f>AE32/AC32</f>
        <v>1.0286396181384247</v>
      </c>
      <c r="AF33" s="63">
        <f>AF32/AE32</f>
        <v>9.2807424593967514E-3</v>
      </c>
    </row>
    <row r="34" spans="2:32" ht="22.5" x14ac:dyDescent="0.15">
      <c r="B34" s="104" t="s">
        <v>222</v>
      </c>
      <c r="C34" s="37"/>
      <c r="D34" s="55"/>
      <c r="E34" s="38"/>
      <c r="F34" s="55"/>
      <c r="G34" s="34">
        <v>599</v>
      </c>
      <c r="H34" s="56">
        <v>10</v>
      </c>
      <c r="I34" s="34">
        <v>630</v>
      </c>
      <c r="J34" s="56">
        <v>6</v>
      </c>
      <c r="K34" s="34">
        <v>649</v>
      </c>
      <c r="L34" s="52">
        <v>3</v>
      </c>
      <c r="M34" s="34">
        <v>637</v>
      </c>
      <c r="N34" s="52">
        <v>4</v>
      </c>
      <c r="O34" s="28">
        <v>641</v>
      </c>
      <c r="P34" s="62">
        <v>17</v>
      </c>
      <c r="R34" s="98" t="s">
        <v>285</v>
      </c>
      <c r="S34" s="37"/>
      <c r="T34" s="55"/>
      <c r="U34" s="37"/>
      <c r="V34" s="55"/>
      <c r="W34" s="34">
        <v>235</v>
      </c>
      <c r="X34" s="56">
        <v>14</v>
      </c>
      <c r="Y34" s="34">
        <v>198</v>
      </c>
      <c r="Z34" s="56">
        <v>7</v>
      </c>
      <c r="AA34" s="34">
        <v>208</v>
      </c>
      <c r="AB34" s="52">
        <v>7</v>
      </c>
      <c r="AC34" s="34">
        <v>200</v>
      </c>
      <c r="AD34" s="52">
        <v>9</v>
      </c>
      <c r="AE34" s="28">
        <v>162</v>
      </c>
      <c r="AF34" s="62">
        <v>20</v>
      </c>
    </row>
    <row r="35" spans="2:32" ht="19.5" thickBot="1" x14ac:dyDescent="0.2">
      <c r="B35" s="105"/>
      <c r="C35" s="100"/>
      <c r="D35" s="101"/>
      <c r="E35" s="96"/>
      <c r="F35" s="101"/>
      <c r="G35" s="19"/>
      <c r="H35" s="53">
        <f>H34/G34</f>
        <v>1.6694490818030049E-2</v>
      </c>
      <c r="I35" s="47">
        <f>I34/G34</f>
        <v>1.0517529215358932</v>
      </c>
      <c r="J35" s="53">
        <f>J34/I34</f>
        <v>9.5238095238095247E-3</v>
      </c>
      <c r="K35" s="47">
        <f>K34/I34</f>
        <v>1.0301587301587301</v>
      </c>
      <c r="L35" s="53">
        <f>L34/K34</f>
        <v>4.6224961479198771E-3</v>
      </c>
      <c r="M35" s="47">
        <f>M34/K34</f>
        <v>0.9815100154083205</v>
      </c>
      <c r="N35" s="53">
        <f>N34/M34</f>
        <v>6.2794348508634227E-3</v>
      </c>
      <c r="O35" s="47">
        <f>O34/M34</f>
        <v>1.0062794348508635</v>
      </c>
      <c r="P35" s="53">
        <f>P34/O34</f>
        <v>2.6521060842433698E-2</v>
      </c>
      <c r="R35" s="99"/>
      <c r="S35" s="100"/>
      <c r="T35" s="101"/>
      <c r="U35" s="96"/>
      <c r="V35" s="97"/>
      <c r="W35" s="19"/>
      <c r="X35" s="53">
        <f>X34/W34</f>
        <v>5.9574468085106386E-2</v>
      </c>
      <c r="Y35" s="47">
        <f>Y34/W34</f>
        <v>0.8425531914893617</v>
      </c>
      <c r="Z35" s="53">
        <f>Z34/Y34</f>
        <v>3.5353535353535352E-2</v>
      </c>
      <c r="AA35" s="47">
        <f>AA34/Y34</f>
        <v>1.0505050505050506</v>
      </c>
      <c r="AB35" s="53">
        <f>AB34/AA34</f>
        <v>3.3653846153846152E-2</v>
      </c>
      <c r="AC35" s="47">
        <f>AC34/AA34</f>
        <v>0.96153846153846156</v>
      </c>
      <c r="AD35" s="53">
        <f>AD34/AC34</f>
        <v>4.4999999999999998E-2</v>
      </c>
      <c r="AE35" s="47">
        <f>AE34/AC34</f>
        <v>0.81</v>
      </c>
      <c r="AF35" s="63">
        <f>AF34/AE34</f>
        <v>0.12345679012345678</v>
      </c>
    </row>
    <row r="36" spans="2:32" ht="18.75" customHeight="1" x14ac:dyDescent="0.15">
      <c r="B36" s="98" t="s">
        <v>13</v>
      </c>
      <c r="C36" s="39">
        <v>791</v>
      </c>
      <c r="D36" s="56">
        <v>132</v>
      </c>
      <c r="E36" s="35"/>
      <c r="F36" s="54"/>
      <c r="G36" s="35"/>
      <c r="H36" s="54"/>
      <c r="I36" s="34">
        <v>737</v>
      </c>
      <c r="J36" s="56">
        <v>98</v>
      </c>
      <c r="K36" s="34">
        <v>724</v>
      </c>
      <c r="L36" s="52">
        <v>128</v>
      </c>
      <c r="M36" s="35"/>
      <c r="N36" s="54"/>
      <c r="O36" s="28">
        <v>649</v>
      </c>
      <c r="P36" s="62">
        <v>125</v>
      </c>
      <c r="R36" s="104" t="s">
        <v>362</v>
      </c>
      <c r="S36" s="37"/>
      <c r="T36" s="55"/>
      <c r="U36" s="37"/>
      <c r="V36" s="55"/>
      <c r="W36" s="34">
        <v>50</v>
      </c>
      <c r="X36" s="56">
        <v>6</v>
      </c>
      <c r="Y36" s="34">
        <v>133</v>
      </c>
      <c r="Z36" s="56">
        <v>11</v>
      </c>
      <c r="AA36" s="37"/>
      <c r="AB36" s="55"/>
      <c r="AC36" s="34">
        <v>240</v>
      </c>
      <c r="AD36" s="52">
        <v>32</v>
      </c>
      <c r="AE36" s="28">
        <v>250</v>
      </c>
      <c r="AF36" s="62">
        <v>33</v>
      </c>
    </row>
    <row r="37" spans="2:32" ht="19.5" thickBot="1" x14ac:dyDescent="0.2">
      <c r="B37" s="99"/>
      <c r="C37" s="19"/>
      <c r="D37" s="53">
        <f>D36/C36</f>
        <v>0.16687737041719342</v>
      </c>
      <c r="E37" s="100"/>
      <c r="F37" s="97"/>
      <c r="G37" s="100"/>
      <c r="H37" s="97"/>
      <c r="I37" s="19"/>
      <c r="J37" s="53">
        <f>J36/I36</f>
        <v>0.13297150610583447</v>
      </c>
      <c r="K37" s="47">
        <f>K36/I36</f>
        <v>0.98236092265943009</v>
      </c>
      <c r="L37" s="53">
        <f>L36/K36</f>
        <v>0.17679558011049723</v>
      </c>
      <c r="M37" s="18"/>
      <c r="N37" s="58"/>
      <c r="O37" s="47">
        <f>O36/K36</f>
        <v>0.89640883977900554</v>
      </c>
      <c r="P37" s="53">
        <f>P36/O36</f>
        <v>0.19260400616332821</v>
      </c>
      <c r="R37" s="99"/>
      <c r="S37" s="100"/>
      <c r="T37" s="101"/>
      <c r="U37" s="96"/>
      <c r="V37" s="97"/>
      <c r="W37" s="19"/>
      <c r="X37" s="53">
        <f>X36/W36</f>
        <v>0.12</v>
      </c>
      <c r="Y37" s="47">
        <f>Y36/W36</f>
        <v>2.66</v>
      </c>
      <c r="Z37" s="53">
        <f>Z36/Y36</f>
        <v>8.2706766917293228E-2</v>
      </c>
      <c r="AA37" s="96"/>
      <c r="AB37" s="97"/>
      <c r="AC37" s="47">
        <f>AC36/Y36</f>
        <v>1.8045112781954886</v>
      </c>
      <c r="AD37" s="53">
        <f>AD36/AC36</f>
        <v>0.13333333333333333</v>
      </c>
      <c r="AE37" s="47">
        <f>AE36/AC36</f>
        <v>1.0416666666666667</v>
      </c>
      <c r="AF37" s="63">
        <f>AF36/AE36</f>
        <v>0.13200000000000001</v>
      </c>
    </row>
    <row r="38" spans="2:32" ht="22.5" x14ac:dyDescent="0.15">
      <c r="B38" s="98" t="s">
        <v>2</v>
      </c>
      <c r="C38" s="39">
        <v>1154</v>
      </c>
      <c r="D38" s="56">
        <v>103</v>
      </c>
      <c r="E38" s="34">
        <v>1277</v>
      </c>
      <c r="F38" s="56">
        <v>111</v>
      </c>
      <c r="G38" s="34">
        <v>1264</v>
      </c>
      <c r="H38" s="56">
        <v>74</v>
      </c>
      <c r="I38" s="34">
        <v>1159</v>
      </c>
      <c r="J38" s="56">
        <v>40</v>
      </c>
      <c r="K38" s="34">
        <v>1125</v>
      </c>
      <c r="L38" s="52">
        <v>40</v>
      </c>
      <c r="M38" s="34">
        <v>991</v>
      </c>
      <c r="N38" s="52">
        <v>56</v>
      </c>
      <c r="O38" s="28">
        <v>955</v>
      </c>
      <c r="P38" s="62">
        <v>72</v>
      </c>
      <c r="R38" s="98" t="s">
        <v>365</v>
      </c>
      <c r="S38" s="37"/>
      <c r="T38" s="55"/>
      <c r="U38" s="37"/>
      <c r="V38" s="55"/>
      <c r="W38" s="34">
        <v>802</v>
      </c>
      <c r="X38" s="56">
        <v>5</v>
      </c>
      <c r="Y38" s="34">
        <v>827</v>
      </c>
      <c r="Z38" s="56">
        <v>5</v>
      </c>
      <c r="AA38" s="34">
        <v>796</v>
      </c>
      <c r="AB38" s="52">
        <v>5</v>
      </c>
      <c r="AC38" s="34">
        <v>724</v>
      </c>
      <c r="AD38" s="52">
        <v>8</v>
      </c>
      <c r="AE38" s="28">
        <v>636</v>
      </c>
      <c r="AF38" s="62">
        <v>6</v>
      </c>
    </row>
    <row r="39" spans="2:32" ht="19.5" thickBot="1" x14ac:dyDescent="0.2">
      <c r="B39" s="99"/>
      <c r="C39" s="19"/>
      <c r="D39" s="53">
        <f>D38/C38</f>
        <v>8.9254766031195837E-2</v>
      </c>
      <c r="E39" s="47">
        <f>E38/C38</f>
        <v>1.1065857885615251</v>
      </c>
      <c r="F39" s="53">
        <f>F38/E38</f>
        <v>8.6922474549725917E-2</v>
      </c>
      <c r="G39" s="47">
        <f>G38/E38</f>
        <v>0.98981989036805007</v>
      </c>
      <c r="H39" s="53">
        <f>H38/G38</f>
        <v>5.8544303797468354E-2</v>
      </c>
      <c r="I39" s="47">
        <f>I38/G38</f>
        <v>0.91693037974683544</v>
      </c>
      <c r="J39" s="53">
        <f>J38/I38</f>
        <v>3.4512510785159621E-2</v>
      </c>
      <c r="K39" s="47">
        <f>K38/I38</f>
        <v>0.97066436583261428</v>
      </c>
      <c r="L39" s="53">
        <f>L38/K38</f>
        <v>3.5555555555555556E-2</v>
      </c>
      <c r="M39" s="47">
        <f>M38/K38</f>
        <v>0.88088888888888894</v>
      </c>
      <c r="N39" s="53">
        <f>N38/M38</f>
        <v>5.6508577194752774E-2</v>
      </c>
      <c r="O39" s="47">
        <f>O38/M38</f>
        <v>0.96367305751765897</v>
      </c>
      <c r="P39" s="53">
        <f>P38/O38</f>
        <v>7.5392670157068062E-2</v>
      </c>
      <c r="R39" s="99"/>
      <c r="S39" s="100"/>
      <c r="T39" s="101"/>
      <c r="U39" s="96"/>
      <c r="V39" s="97"/>
      <c r="W39" s="19"/>
      <c r="X39" s="53">
        <f>X38/W38</f>
        <v>6.2344139650872821E-3</v>
      </c>
      <c r="Y39" s="47">
        <f>Y38/W38</f>
        <v>1.0311720698254363</v>
      </c>
      <c r="Z39" s="53">
        <f>Z38/Y38</f>
        <v>6.0459492140266021E-3</v>
      </c>
      <c r="AA39" s="47">
        <f>AA38/Y38</f>
        <v>0.96251511487303509</v>
      </c>
      <c r="AB39" s="53">
        <f>AB38/AA38</f>
        <v>6.2814070351758797E-3</v>
      </c>
      <c r="AC39" s="47">
        <f>AC38/AA38</f>
        <v>0.90954773869346739</v>
      </c>
      <c r="AD39" s="53">
        <f>AD38/AC38</f>
        <v>1.1049723756906077E-2</v>
      </c>
      <c r="AE39" s="47">
        <f>AE38/AC38</f>
        <v>0.87845303867403313</v>
      </c>
      <c r="AF39" s="63">
        <f>AF38/AE38</f>
        <v>9.433962264150943E-3</v>
      </c>
    </row>
    <row r="40" spans="2:32" ht="22.5" x14ac:dyDescent="0.15">
      <c r="B40" s="114" t="s">
        <v>287</v>
      </c>
      <c r="C40" s="39">
        <v>1039</v>
      </c>
      <c r="D40" s="56">
        <v>118</v>
      </c>
      <c r="E40" s="34">
        <v>1095</v>
      </c>
      <c r="F40" s="56">
        <v>142</v>
      </c>
      <c r="G40" s="34">
        <v>1117</v>
      </c>
      <c r="H40" s="56">
        <v>106</v>
      </c>
      <c r="I40" s="34">
        <v>1150</v>
      </c>
      <c r="J40" s="56">
        <v>84</v>
      </c>
      <c r="K40" s="34">
        <v>1112</v>
      </c>
      <c r="L40" s="52">
        <v>61</v>
      </c>
      <c r="M40" s="92">
        <v>1084</v>
      </c>
      <c r="N40" s="59">
        <v>65</v>
      </c>
      <c r="O40" s="28">
        <v>1062</v>
      </c>
      <c r="P40" s="62">
        <v>60</v>
      </c>
      <c r="R40" s="98" t="s">
        <v>366</v>
      </c>
      <c r="S40" s="37"/>
      <c r="T40" s="55"/>
      <c r="U40" s="37"/>
      <c r="V40" s="55"/>
      <c r="W40" s="34">
        <v>656</v>
      </c>
      <c r="X40" s="56">
        <v>8</v>
      </c>
      <c r="Y40" s="34">
        <v>661</v>
      </c>
      <c r="Z40" s="56">
        <v>8</v>
      </c>
      <c r="AA40" s="34">
        <v>654</v>
      </c>
      <c r="AB40" s="52">
        <v>4</v>
      </c>
      <c r="AC40" s="34">
        <v>669</v>
      </c>
      <c r="AD40" s="52">
        <v>8</v>
      </c>
      <c r="AE40" s="28"/>
      <c r="AF40" s="62"/>
    </row>
    <row r="41" spans="2:32" ht="19.5" thickBot="1" x14ac:dyDescent="0.2">
      <c r="B41" s="115"/>
      <c r="C41" s="19"/>
      <c r="D41" s="53">
        <f>D40/C40</f>
        <v>0.11357074109720885</v>
      </c>
      <c r="E41" s="47">
        <f>E40/C40</f>
        <v>1.0538979788257941</v>
      </c>
      <c r="F41" s="53">
        <f>F40/E40</f>
        <v>0.12968036529680366</v>
      </c>
      <c r="G41" s="47">
        <f>G40/E40</f>
        <v>1.0200913242009133</v>
      </c>
      <c r="H41" s="53">
        <f>H40/G40</f>
        <v>9.4897045658012533E-2</v>
      </c>
      <c r="I41" s="47">
        <f>I40/G40</f>
        <v>1.0295434198746642</v>
      </c>
      <c r="J41" s="53">
        <f>J40/I40</f>
        <v>7.3043478260869571E-2</v>
      </c>
      <c r="K41" s="47">
        <f>K40/I40</f>
        <v>0.96695652173913038</v>
      </c>
      <c r="L41" s="53">
        <f>L40/K40</f>
        <v>5.4856115107913668E-2</v>
      </c>
      <c r="M41" s="47">
        <f>M40/K40</f>
        <v>0.97482014388489213</v>
      </c>
      <c r="N41" s="53">
        <f>N40/M40</f>
        <v>5.996309963099631E-2</v>
      </c>
      <c r="O41" s="47">
        <f>O40/M40</f>
        <v>0.97970479704797053</v>
      </c>
      <c r="P41" s="53">
        <f>P40/O40</f>
        <v>5.6497175141242938E-2</v>
      </c>
      <c r="R41" s="99"/>
      <c r="S41" s="100"/>
      <c r="T41" s="101"/>
      <c r="U41" s="96"/>
      <c r="V41" s="97"/>
      <c r="W41" s="19"/>
      <c r="X41" s="53">
        <f>X40/W40</f>
        <v>1.2195121951219513E-2</v>
      </c>
      <c r="Y41" s="47">
        <f>Y40/W40</f>
        <v>1.0076219512195121</v>
      </c>
      <c r="Z41" s="53">
        <f>Z40/Y40</f>
        <v>1.2102874432677761E-2</v>
      </c>
      <c r="AA41" s="47">
        <f>AA40/Y40</f>
        <v>0.98940998487140697</v>
      </c>
      <c r="AB41" s="53">
        <f>AB40/AA40</f>
        <v>6.1162079510703364E-3</v>
      </c>
      <c r="AC41" s="47">
        <f>AC40/AA40</f>
        <v>1.0229357798165137</v>
      </c>
      <c r="AD41" s="53">
        <f>AD40/AC40</f>
        <v>1.195814648729447E-2</v>
      </c>
      <c r="AE41" s="47">
        <f>AE40/AC40</f>
        <v>0</v>
      </c>
      <c r="AF41" s="63" t="e">
        <f>AF40/AE40</f>
        <v>#DIV/0!</v>
      </c>
    </row>
    <row r="42" spans="2:32" ht="22.5" x14ac:dyDescent="0.15">
      <c r="B42" s="98" t="s">
        <v>4</v>
      </c>
      <c r="C42" s="37"/>
      <c r="D42" s="55"/>
      <c r="E42" s="34">
        <v>1242</v>
      </c>
      <c r="F42" s="56">
        <v>176</v>
      </c>
      <c r="G42" s="34">
        <v>1095</v>
      </c>
      <c r="H42" s="56">
        <v>94</v>
      </c>
      <c r="I42" s="34">
        <v>941</v>
      </c>
      <c r="J42" s="56">
        <v>104</v>
      </c>
      <c r="K42" s="34">
        <v>865</v>
      </c>
      <c r="L42" s="52">
        <v>105</v>
      </c>
      <c r="M42" s="34">
        <v>851</v>
      </c>
      <c r="N42" s="52">
        <v>105</v>
      </c>
      <c r="O42" s="28">
        <v>920</v>
      </c>
      <c r="P42" s="62">
        <v>115</v>
      </c>
      <c r="R42" s="104" t="s">
        <v>275</v>
      </c>
      <c r="S42" s="37"/>
      <c r="T42" s="55"/>
      <c r="U42" s="37"/>
      <c r="V42" s="55"/>
      <c r="W42" s="34">
        <v>701</v>
      </c>
      <c r="X42" s="56">
        <v>0</v>
      </c>
      <c r="Y42" s="34">
        <v>694</v>
      </c>
      <c r="Z42" s="56">
        <v>0</v>
      </c>
      <c r="AA42" s="34">
        <v>666</v>
      </c>
      <c r="AB42" s="52">
        <v>0</v>
      </c>
      <c r="AC42" s="34">
        <v>653</v>
      </c>
      <c r="AD42" s="52">
        <v>4</v>
      </c>
      <c r="AE42" s="28">
        <v>608</v>
      </c>
      <c r="AF42" s="62">
        <v>1</v>
      </c>
    </row>
    <row r="43" spans="2:32" ht="19.5" thickBot="1" x14ac:dyDescent="0.2">
      <c r="B43" s="99"/>
      <c r="C43" s="100"/>
      <c r="D43" s="101"/>
      <c r="E43" s="19"/>
      <c r="F43" s="53">
        <f>F42/E42</f>
        <v>0.14170692431561996</v>
      </c>
      <c r="G43" s="47">
        <f>G42/E42</f>
        <v>0.88164251207729472</v>
      </c>
      <c r="H43" s="53">
        <f>H42/G42</f>
        <v>8.5844748858447492E-2</v>
      </c>
      <c r="I43" s="47">
        <f>I42/G42</f>
        <v>0.85936073059360729</v>
      </c>
      <c r="J43" s="53">
        <f>J42/I42</f>
        <v>0.11052072263549416</v>
      </c>
      <c r="K43" s="47">
        <f>K42/I42</f>
        <v>0.91923485653560044</v>
      </c>
      <c r="L43" s="53">
        <f>L42/K42</f>
        <v>0.12138728323699421</v>
      </c>
      <c r="M43" s="47">
        <f>M42/K42</f>
        <v>0.98381502890173411</v>
      </c>
      <c r="N43" s="53">
        <f>N42/M42</f>
        <v>0.12338425381903642</v>
      </c>
      <c r="O43" s="47">
        <f>O42/M42</f>
        <v>1.0810810810810811</v>
      </c>
      <c r="P43" s="53">
        <f>P42/O42</f>
        <v>0.125</v>
      </c>
      <c r="R43" s="99"/>
      <c r="S43" s="100"/>
      <c r="T43" s="101"/>
      <c r="U43" s="96"/>
      <c r="V43" s="97"/>
      <c r="W43" s="19"/>
      <c r="X43" s="53">
        <f>X42/W42</f>
        <v>0</v>
      </c>
      <c r="Y43" s="47">
        <f>Y42/W42</f>
        <v>0.9900142653352354</v>
      </c>
      <c r="Z43" s="53">
        <f>Z42/Y42</f>
        <v>0</v>
      </c>
      <c r="AA43" s="47">
        <f>AA42/Y42</f>
        <v>0.95965417867435154</v>
      </c>
      <c r="AB43" s="53">
        <f>AB42/AA42</f>
        <v>0</v>
      </c>
      <c r="AC43" s="47">
        <f>AC42/AA42</f>
        <v>0.98048048048048053</v>
      </c>
      <c r="AD43" s="53">
        <f>AD42/AC42</f>
        <v>6.1255742725880554E-3</v>
      </c>
      <c r="AE43" s="47">
        <f>AE42/AC42</f>
        <v>0.93108728943338437</v>
      </c>
      <c r="AF43" s="63">
        <f>AF42/AE42</f>
        <v>1.6447368421052631E-3</v>
      </c>
    </row>
    <row r="44" spans="2:32" ht="22.5" x14ac:dyDescent="0.15">
      <c r="B44" s="104" t="s">
        <v>339</v>
      </c>
      <c r="C44" s="39">
        <v>370</v>
      </c>
      <c r="D44" s="56">
        <v>15</v>
      </c>
      <c r="E44" s="37"/>
      <c r="F44" s="55"/>
      <c r="G44" s="34">
        <v>305</v>
      </c>
      <c r="H44" s="56">
        <v>9</v>
      </c>
      <c r="I44" s="34">
        <v>293</v>
      </c>
      <c r="J44" s="56">
        <v>8</v>
      </c>
      <c r="K44" s="34">
        <v>300</v>
      </c>
      <c r="L44" s="52">
        <v>10</v>
      </c>
      <c r="M44" s="34">
        <v>292</v>
      </c>
      <c r="N44" s="52">
        <v>10</v>
      </c>
      <c r="O44" s="28">
        <v>303</v>
      </c>
      <c r="P44" s="62">
        <v>9</v>
      </c>
      <c r="R44" s="98" t="s">
        <v>329</v>
      </c>
      <c r="S44" s="37"/>
      <c r="T44" s="55"/>
      <c r="U44" s="37"/>
      <c r="V44" s="55"/>
      <c r="W44" s="34">
        <v>1089</v>
      </c>
      <c r="X44" s="56">
        <v>93</v>
      </c>
      <c r="Y44" s="34">
        <v>804</v>
      </c>
      <c r="Z44" s="56">
        <v>75</v>
      </c>
      <c r="AA44" s="34">
        <v>585</v>
      </c>
      <c r="AB44" s="52">
        <v>55</v>
      </c>
      <c r="AC44" s="34">
        <v>437</v>
      </c>
      <c r="AD44" s="52">
        <v>35</v>
      </c>
      <c r="AE44" s="28">
        <v>388</v>
      </c>
      <c r="AF44" s="62">
        <v>21</v>
      </c>
    </row>
    <row r="45" spans="2:32" ht="19.5" thickBot="1" x14ac:dyDescent="0.2">
      <c r="B45" s="99"/>
      <c r="C45" s="19"/>
      <c r="D45" s="53">
        <f>D44/C44</f>
        <v>4.0540540540540543E-2</v>
      </c>
      <c r="E45" s="100"/>
      <c r="F45" s="101"/>
      <c r="G45" s="47">
        <f>G44/C44</f>
        <v>0.82432432432432434</v>
      </c>
      <c r="H45" s="53">
        <f>H44/G44</f>
        <v>2.9508196721311476E-2</v>
      </c>
      <c r="I45" s="47">
        <f>I44/G44</f>
        <v>0.96065573770491808</v>
      </c>
      <c r="J45" s="53">
        <f>J44/I44</f>
        <v>2.7303754266211604E-2</v>
      </c>
      <c r="K45" s="47">
        <f>K44/I44</f>
        <v>1.0238907849829351</v>
      </c>
      <c r="L45" s="53">
        <f>L44/K44</f>
        <v>3.3333333333333333E-2</v>
      </c>
      <c r="M45" s="47">
        <f>M44/K44</f>
        <v>0.97333333333333338</v>
      </c>
      <c r="N45" s="53">
        <f>N44/M44</f>
        <v>3.4246575342465752E-2</v>
      </c>
      <c r="O45" s="47">
        <f>O44/M44</f>
        <v>1.0376712328767124</v>
      </c>
      <c r="P45" s="53">
        <f>P44/O44</f>
        <v>2.9702970297029702E-2</v>
      </c>
      <c r="R45" s="99"/>
      <c r="S45" s="100"/>
      <c r="T45" s="101"/>
      <c r="U45" s="96"/>
      <c r="V45" s="97"/>
      <c r="W45" s="19"/>
      <c r="X45" s="53">
        <f>X44/W44</f>
        <v>8.5399449035812675E-2</v>
      </c>
      <c r="Y45" s="47">
        <f>Y44/W44</f>
        <v>0.73829201101928377</v>
      </c>
      <c r="Z45" s="53">
        <f>Z44/Y44</f>
        <v>9.3283582089552244E-2</v>
      </c>
      <c r="AA45" s="47">
        <f>AA44/Y44</f>
        <v>0.72761194029850751</v>
      </c>
      <c r="AB45" s="53">
        <f>AB44/AA44</f>
        <v>9.4017094017094016E-2</v>
      </c>
      <c r="AC45" s="47">
        <f>AC44/AA44</f>
        <v>0.74700854700854702</v>
      </c>
      <c r="AD45" s="53">
        <f>AD44/AC44</f>
        <v>8.0091533180778038E-2</v>
      </c>
      <c r="AE45" s="47">
        <f>AE44/AC44</f>
        <v>0.88787185354691078</v>
      </c>
      <c r="AF45" s="63">
        <f>AF44/AE44</f>
        <v>5.4123711340206188E-2</v>
      </c>
    </row>
    <row r="46" spans="2:32" ht="18.75" customHeight="1" x14ac:dyDescent="0.15">
      <c r="B46" s="116" t="s">
        <v>351</v>
      </c>
      <c r="C46" s="37"/>
      <c r="D46" s="55"/>
      <c r="E46" s="34">
        <v>351</v>
      </c>
      <c r="F46" s="56">
        <v>58</v>
      </c>
      <c r="G46" s="34">
        <v>389</v>
      </c>
      <c r="H46" s="56">
        <v>46</v>
      </c>
      <c r="I46" s="34">
        <v>392</v>
      </c>
      <c r="J46" s="56">
        <v>25</v>
      </c>
      <c r="K46" s="34">
        <v>364</v>
      </c>
      <c r="L46" s="52">
        <v>12</v>
      </c>
      <c r="M46" s="34">
        <v>340</v>
      </c>
      <c r="N46" s="52">
        <v>21</v>
      </c>
      <c r="O46" s="36">
        <v>295</v>
      </c>
      <c r="P46" s="65">
        <v>23</v>
      </c>
      <c r="R46" s="104" t="s">
        <v>367</v>
      </c>
      <c r="S46" s="37"/>
      <c r="T46" s="55"/>
      <c r="U46" s="37"/>
      <c r="V46" s="55"/>
      <c r="W46" s="34">
        <v>464</v>
      </c>
      <c r="X46" s="56">
        <v>13</v>
      </c>
      <c r="Y46" s="34">
        <v>265</v>
      </c>
      <c r="Z46" s="56">
        <v>10</v>
      </c>
      <c r="AA46" s="34">
        <v>210</v>
      </c>
      <c r="AB46" s="52">
        <v>4</v>
      </c>
      <c r="AC46" s="34">
        <v>165</v>
      </c>
      <c r="AD46" s="52">
        <v>3</v>
      </c>
      <c r="AE46" s="28">
        <v>131</v>
      </c>
      <c r="AF46" s="62">
        <v>7</v>
      </c>
    </row>
    <row r="47" spans="2:32" ht="19.5" thickBot="1" x14ac:dyDescent="0.2">
      <c r="B47" s="110"/>
      <c r="C47" s="101"/>
      <c r="D47" s="113"/>
      <c r="E47" s="19"/>
      <c r="F47" s="53">
        <f>F46/E46</f>
        <v>0.16524216524216523</v>
      </c>
      <c r="G47" s="47">
        <f>G46/E46</f>
        <v>1.1082621082621082</v>
      </c>
      <c r="H47" s="53">
        <f>H46/G46</f>
        <v>0.11825192802056556</v>
      </c>
      <c r="I47" s="47">
        <f>I46/G46</f>
        <v>1.0077120822622108</v>
      </c>
      <c r="J47" s="53">
        <f>J46/I46</f>
        <v>6.3775510204081634E-2</v>
      </c>
      <c r="K47" s="47">
        <f>K46/I46</f>
        <v>0.9285714285714286</v>
      </c>
      <c r="L47" s="53">
        <f>L46/K46</f>
        <v>3.2967032967032968E-2</v>
      </c>
      <c r="M47" s="47">
        <f>M46/K46</f>
        <v>0.93406593406593408</v>
      </c>
      <c r="N47" s="53">
        <f>N46/M46</f>
        <v>6.1764705882352944E-2</v>
      </c>
      <c r="O47" s="47">
        <f>O46/M46</f>
        <v>0.86764705882352944</v>
      </c>
      <c r="P47" s="63">
        <f>P46/O46</f>
        <v>7.796610169491526E-2</v>
      </c>
      <c r="R47" s="99"/>
      <c r="S47" s="100"/>
      <c r="T47" s="101"/>
      <c r="U47" s="96"/>
      <c r="V47" s="97"/>
      <c r="W47" s="19"/>
      <c r="X47" s="53">
        <f>X46/W46</f>
        <v>2.8017241379310345E-2</v>
      </c>
      <c r="Y47" s="47">
        <f>Y46/W46</f>
        <v>0.57112068965517238</v>
      </c>
      <c r="Z47" s="53">
        <f>Z46/Y46</f>
        <v>3.7735849056603772E-2</v>
      </c>
      <c r="AA47" s="47">
        <f>AA46/Y46</f>
        <v>0.79245283018867929</v>
      </c>
      <c r="AB47" s="53">
        <f>AB46/AA46</f>
        <v>1.9047619047619049E-2</v>
      </c>
      <c r="AC47" s="47">
        <f>AC46/AA46</f>
        <v>0.7857142857142857</v>
      </c>
      <c r="AD47" s="53">
        <f>AD46/AC46</f>
        <v>1.8181818181818181E-2</v>
      </c>
      <c r="AE47" s="47">
        <f>AE46/AC46</f>
        <v>0.79393939393939394</v>
      </c>
      <c r="AF47" s="63">
        <f>AF46/AE46</f>
        <v>5.3435114503816793E-2</v>
      </c>
    </row>
    <row r="48" spans="2:32" ht="22.5" x14ac:dyDescent="0.15">
      <c r="B48" s="98" t="s">
        <v>5</v>
      </c>
      <c r="C48" s="37"/>
      <c r="D48" s="55"/>
      <c r="E48" s="38"/>
      <c r="F48" s="55"/>
      <c r="G48" s="38"/>
      <c r="H48" s="55"/>
      <c r="I48" s="34">
        <v>189</v>
      </c>
      <c r="J48" s="56">
        <v>9</v>
      </c>
      <c r="K48" s="34">
        <v>171</v>
      </c>
      <c r="L48" s="52">
        <v>6</v>
      </c>
      <c r="M48" s="34">
        <v>164</v>
      </c>
      <c r="N48" s="52">
        <v>6</v>
      </c>
      <c r="O48" s="28">
        <v>150</v>
      </c>
      <c r="P48" s="62">
        <v>9</v>
      </c>
    </row>
    <row r="49" spans="2:16" ht="19.5" thickBot="1" x14ac:dyDescent="0.2">
      <c r="B49" s="99"/>
      <c r="C49" s="100"/>
      <c r="D49" s="101"/>
      <c r="E49" s="96"/>
      <c r="F49" s="101"/>
      <c r="G49" s="96"/>
      <c r="H49" s="101"/>
      <c r="I49" s="19"/>
      <c r="J49" s="53">
        <f>J48/I48</f>
        <v>4.7619047619047616E-2</v>
      </c>
      <c r="K49" s="47">
        <f>K48/I48</f>
        <v>0.90476190476190477</v>
      </c>
      <c r="L49" s="53">
        <f>L48/K48</f>
        <v>3.5087719298245612E-2</v>
      </c>
      <c r="M49" s="47">
        <f>M48/K48</f>
        <v>0.95906432748538006</v>
      </c>
      <c r="N49" s="53">
        <f>N48/M48</f>
        <v>3.6585365853658534E-2</v>
      </c>
      <c r="O49" s="47">
        <f>O48/M48</f>
        <v>0.91463414634146345</v>
      </c>
      <c r="P49" s="53">
        <f>P48/O48</f>
        <v>0.06</v>
      </c>
    </row>
  </sheetData>
  <mergeCells count="116">
    <mergeCell ref="R38:R39"/>
    <mergeCell ref="I27:J27"/>
    <mergeCell ref="S37:T37"/>
    <mergeCell ref="U37:V37"/>
    <mergeCell ref="R44:R45"/>
    <mergeCell ref="S45:T45"/>
    <mergeCell ref="U45:V45"/>
    <mergeCell ref="S33:T33"/>
    <mergeCell ref="U33:V33"/>
    <mergeCell ref="S39:T39"/>
    <mergeCell ref="B46:B47"/>
    <mergeCell ref="B30:B31"/>
    <mergeCell ref="C31:D31"/>
    <mergeCell ref="E31:F31"/>
    <mergeCell ref="B28:B29"/>
    <mergeCell ref="B26:B27"/>
    <mergeCell ref="C29:D29"/>
    <mergeCell ref="E29:F29"/>
    <mergeCell ref="B24:B25"/>
    <mergeCell ref="C47:D47"/>
    <mergeCell ref="U41:V41"/>
    <mergeCell ref="R42:R43"/>
    <mergeCell ref="S43:T43"/>
    <mergeCell ref="U43:V43"/>
    <mergeCell ref="AE3:AF3"/>
    <mergeCell ref="B48:B49"/>
    <mergeCell ref="C49:D49"/>
    <mergeCell ref="E49:F49"/>
    <mergeCell ref="G49:H49"/>
    <mergeCell ref="B42:B43"/>
    <mergeCell ref="C43:D43"/>
    <mergeCell ref="B40:B41"/>
    <mergeCell ref="B38:B39"/>
    <mergeCell ref="B36:B37"/>
    <mergeCell ref="E37:F37"/>
    <mergeCell ref="G37:H37"/>
    <mergeCell ref="B34:B35"/>
    <mergeCell ref="R36:R37"/>
    <mergeCell ref="C35:D35"/>
    <mergeCell ref="E35:F35"/>
    <mergeCell ref="B44:B45"/>
    <mergeCell ref="R46:R47"/>
    <mergeCell ref="S47:T47"/>
    <mergeCell ref="U47:V47"/>
    <mergeCell ref="E45:F45"/>
    <mergeCell ref="R8:R9"/>
    <mergeCell ref="S23:T23"/>
    <mergeCell ref="U27:V27"/>
    <mergeCell ref="R12:R13"/>
    <mergeCell ref="R26:R27"/>
    <mergeCell ref="S13:T13"/>
    <mergeCell ref="R6:R7"/>
    <mergeCell ref="S7:T7"/>
    <mergeCell ref="R28:R29"/>
    <mergeCell ref="S27:T27"/>
    <mergeCell ref="S31:T31"/>
    <mergeCell ref="U31:V31"/>
    <mergeCell ref="S15:T15"/>
    <mergeCell ref="U23:V23"/>
    <mergeCell ref="U25:V25"/>
    <mergeCell ref="U15:V15"/>
    <mergeCell ref="S19:T19"/>
    <mergeCell ref="S11:T11"/>
    <mergeCell ref="U11:V11"/>
    <mergeCell ref="S25:T25"/>
    <mergeCell ref="U39:V39"/>
    <mergeCell ref="R40:R41"/>
    <mergeCell ref="S41:T41"/>
    <mergeCell ref="B10:B11"/>
    <mergeCell ref="B14:B15"/>
    <mergeCell ref="B8:B9"/>
    <mergeCell ref="B6:B7"/>
    <mergeCell ref="B12:B13"/>
    <mergeCell ref="R14:R15"/>
    <mergeCell ref="C13:D13"/>
    <mergeCell ref="E13:F13"/>
    <mergeCell ref="B18:B19"/>
    <mergeCell ref="R16:R17"/>
    <mergeCell ref="R10:R11"/>
    <mergeCell ref="AA37:AB37"/>
    <mergeCell ref="R20:R21"/>
    <mergeCell ref="B32:B33"/>
    <mergeCell ref="C33:D33"/>
    <mergeCell ref="E33:F33"/>
    <mergeCell ref="K33:L33"/>
    <mergeCell ref="C15:D15"/>
    <mergeCell ref="S35:T35"/>
    <mergeCell ref="U35:V35"/>
    <mergeCell ref="R34:R35"/>
    <mergeCell ref="E27:F27"/>
    <mergeCell ref="R32:R33"/>
    <mergeCell ref="R24:R25"/>
    <mergeCell ref="U19:V19"/>
    <mergeCell ref="R18:R19"/>
    <mergeCell ref="S17:T17"/>
    <mergeCell ref="U17:V17"/>
    <mergeCell ref="B16:B17"/>
    <mergeCell ref="R30:R31"/>
    <mergeCell ref="E17:F17"/>
    <mergeCell ref="B20:B21"/>
    <mergeCell ref="B22:B23"/>
    <mergeCell ref="R22:R23"/>
    <mergeCell ref="E25:F25"/>
    <mergeCell ref="AC3:AD3"/>
    <mergeCell ref="C3:D3"/>
    <mergeCell ref="E3:F3"/>
    <mergeCell ref="G3:H3"/>
    <mergeCell ref="I3:J3"/>
    <mergeCell ref="K3:L3"/>
    <mergeCell ref="M3:N3"/>
    <mergeCell ref="S3:T3"/>
    <mergeCell ref="U3:V3"/>
    <mergeCell ref="W3:X3"/>
    <mergeCell ref="Y3:Z3"/>
    <mergeCell ref="AA3:AB3"/>
    <mergeCell ref="O3:P3"/>
  </mergeCells>
  <phoneticPr fontId="2"/>
  <conditionalFormatting sqref="E7">
    <cfRule type="cellIs" dxfId="145" priority="49" operator="lessThan">
      <formula>1</formula>
    </cfRule>
    <cfRule type="cellIs" dxfId="144" priority="50" operator="greaterThanOrEqual">
      <formula>1</formula>
    </cfRule>
  </conditionalFormatting>
  <conditionalFormatting sqref="W29 U29 Y35 Y33 Y31 Y29 Y27 Y25 Y23 Y19 Y17 Y15 AA35 AA33 AA31 AA29 AA27 AA25 AA23 AA19 AA17 AA15 AC35 AC33 AC31 AC29 AC27 AC25 AC23 AC19 AC17 AC15 AE35 AE33 AE31 AE29 AE27 AE25 AE23 AE19 AE17 AE15 O15 M15 K15 I15 G15">
    <cfRule type="cellIs" dxfId="143" priority="37" operator="lessThan">
      <formula>1</formula>
    </cfRule>
    <cfRule type="cellIs" dxfId="142" priority="38" operator="greaterThanOrEqual">
      <formula>1</formula>
    </cfRule>
  </conditionalFormatting>
  <conditionalFormatting sqref="E11">
    <cfRule type="cellIs" dxfId="141" priority="47" operator="lessThan">
      <formula>1</formula>
    </cfRule>
    <cfRule type="cellIs" dxfId="140" priority="48" operator="greaterThanOrEqual">
      <formula>1</formula>
    </cfRule>
  </conditionalFormatting>
  <conditionalFormatting sqref="M49">
    <cfRule type="cellIs" dxfId="139" priority="45" operator="lessThan">
      <formula>1</formula>
    </cfRule>
    <cfRule type="cellIs" dxfId="138" priority="46" operator="greaterThanOrEqual">
      <formula>1</formula>
    </cfRule>
  </conditionalFormatting>
  <conditionalFormatting sqref="I43 I41 I39 I25 K25 K27 K29 K31 K35 K37 K39 K41 K43 K49 O17 M17 M25 M27 O27 O29 M29 M31 M35 O39 O41 O43 O49 O31 O35 M39 M41 M43 O37 I35 I31 I29">
    <cfRule type="cellIs" dxfId="137" priority="43" operator="lessThan">
      <formula>1</formula>
    </cfRule>
    <cfRule type="cellIs" dxfId="136" priority="44" operator="greaterThanOrEqual">
      <formula>1</formula>
    </cfRule>
  </conditionalFormatting>
  <conditionalFormatting sqref="O21">
    <cfRule type="cellIs" dxfId="135" priority="41" operator="lessThan">
      <formula>1</formula>
    </cfRule>
    <cfRule type="cellIs" dxfId="134" priority="42" operator="greaterThanOrEqual">
      <formula>1</formula>
    </cfRule>
  </conditionalFormatting>
  <conditionalFormatting sqref="W13 Y13 AA13 AC13 AE13 AE7 AC7 AA7 Y7 W7 E21 G21 G17 G25 G27 G39 E39 E41 G41 G43">
    <cfRule type="cellIs" dxfId="133" priority="39" operator="lessThan">
      <formula>1</formula>
    </cfRule>
    <cfRule type="cellIs" dxfId="132" priority="40" operator="greaterThanOrEqual">
      <formula>1</formula>
    </cfRule>
  </conditionalFormatting>
  <conditionalFormatting sqref="Y37 AC37 AE37">
    <cfRule type="cellIs" dxfId="131" priority="35" operator="lessThan">
      <formula>1</formula>
    </cfRule>
    <cfRule type="cellIs" dxfId="130" priority="36" operator="greaterThanOrEqual">
      <formula>1</formula>
    </cfRule>
  </conditionalFormatting>
  <conditionalFormatting sqref="I45 K45 O45 M45">
    <cfRule type="cellIs" dxfId="129" priority="33" operator="lessThan">
      <formula>1</formula>
    </cfRule>
    <cfRule type="cellIs" dxfId="128" priority="34" operator="greaterThanOrEqual">
      <formula>1</formula>
    </cfRule>
  </conditionalFormatting>
  <conditionalFormatting sqref="G45">
    <cfRule type="cellIs" dxfId="127" priority="31" operator="lessThan">
      <formula>1</formula>
    </cfRule>
    <cfRule type="cellIs" dxfId="126" priority="32" operator="greaterThanOrEqual">
      <formula>1</formula>
    </cfRule>
  </conditionalFormatting>
  <conditionalFormatting sqref="I23 K23 M23">
    <cfRule type="cellIs" dxfId="125" priority="29" operator="lessThan">
      <formula>1</formula>
    </cfRule>
    <cfRule type="cellIs" dxfId="124" priority="30" operator="greaterThanOrEqual">
      <formula>1</formula>
    </cfRule>
  </conditionalFormatting>
  <conditionalFormatting sqref="E23 G23">
    <cfRule type="cellIs" dxfId="123" priority="27" operator="lessThan">
      <formula>1</formula>
    </cfRule>
    <cfRule type="cellIs" dxfId="122" priority="28" operator="greaterThanOrEqual">
      <formula>1</formula>
    </cfRule>
  </conditionalFormatting>
  <conditionalFormatting sqref="O25">
    <cfRule type="cellIs" dxfId="121" priority="25" operator="lessThan">
      <formula>1</formula>
    </cfRule>
    <cfRule type="cellIs" dxfId="120" priority="26" operator="greaterThanOrEqual">
      <formula>1</formula>
    </cfRule>
  </conditionalFormatting>
  <conditionalFormatting sqref="O47 M47 K47 I47 G47">
    <cfRule type="cellIs" dxfId="119" priority="21" operator="lessThan">
      <formula>1</formula>
    </cfRule>
    <cfRule type="cellIs" dxfId="118" priority="22" operator="greaterThanOrEqual">
      <formula>1</formula>
    </cfRule>
  </conditionalFormatting>
  <conditionalFormatting sqref="Y45 AA45 AC45 AE45">
    <cfRule type="cellIs" dxfId="117" priority="19" operator="lessThan">
      <formula>1</formula>
    </cfRule>
    <cfRule type="cellIs" dxfId="116" priority="20" operator="greaterThanOrEqual">
      <formula>1</formula>
    </cfRule>
  </conditionalFormatting>
  <conditionalFormatting sqref="Y21 AA21 AC21 AE21">
    <cfRule type="cellIs" dxfId="115" priority="17" operator="lessThan">
      <formula>1</formula>
    </cfRule>
    <cfRule type="cellIs" dxfId="114" priority="18" operator="greaterThanOrEqual">
      <formula>1</formula>
    </cfRule>
  </conditionalFormatting>
  <conditionalFormatting sqref="U21 W21">
    <cfRule type="cellIs" dxfId="113" priority="15" operator="lessThan">
      <formula>1</formula>
    </cfRule>
    <cfRule type="cellIs" dxfId="112" priority="16" operator="greaterThanOrEqual">
      <formula>1</formula>
    </cfRule>
  </conditionalFormatting>
  <conditionalFormatting sqref="I33 M33 O33">
    <cfRule type="cellIs" dxfId="111" priority="13" operator="lessThan">
      <formula>1</formula>
    </cfRule>
    <cfRule type="cellIs" dxfId="110" priority="14" operator="greaterThanOrEqual">
      <formula>1</formula>
    </cfRule>
  </conditionalFormatting>
  <conditionalFormatting sqref="Y39 AA39 AC39 AE39">
    <cfRule type="cellIs" dxfId="109" priority="11" operator="lessThan">
      <formula>1</formula>
    </cfRule>
    <cfRule type="cellIs" dxfId="108" priority="12" operator="greaterThanOrEqual">
      <formula>1</formula>
    </cfRule>
  </conditionalFormatting>
  <conditionalFormatting sqref="Y41 AA41 AC41 AE41">
    <cfRule type="cellIs" dxfId="107" priority="9" operator="lessThan">
      <formula>1</formula>
    </cfRule>
    <cfRule type="cellIs" dxfId="106" priority="10" operator="greaterThanOrEqual">
      <formula>1</formula>
    </cfRule>
  </conditionalFormatting>
  <conditionalFormatting sqref="Y43 AA43 AC43 AE43">
    <cfRule type="cellIs" dxfId="105" priority="7" operator="lessThan">
      <formula>1</formula>
    </cfRule>
    <cfRule type="cellIs" dxfId="104" priority="8" operator="greaterThanOrEqual">
      <formula>1</formula>
    </cfRule>
  </conditionalFormatting>
  <conditionalFormatting sqref="Y47 AA47 AC47 AE47">
    <cfRule type="cellIs" dxfId="103" priority="5" operator="lessThan">
      <formula>1</formula>
    </cfRule>
    <cfRule type="cellIs" dxfId="102" priority="6" operator="greaterThanOrEqual">
      <formula>1</formula>
    </cfRule>
  </conditionalFormatting>
  <conditionalFormatting sqref="O23">
    <cfRule type="cellIs" dxfId="101" priority="3" operator="lessThan">
      <formula>1</formula>
    </cfRule>
    <cfRule type="cellIs" dxfId="100" priority="4" operator="greaterThanOrEqual">
      <formula>1</formula>
    </cfRule>
  </conditionalFormatting>
  <conditionalFormatting sqref="AE9">
    <cfRule type="cellIs" dxfId="1" priority="1" operator="lessThan">
      <formula>1</formula>
    </cfRule>
    <cfRule type="cellIs" dxfId="0" priority="2" operator="greaterThanOrEqual">
      <formula>1</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127CD-4769-4799-BD4F-1015F8CD8CDB}">
  <sheetPr>
    <tabColor theme="5" tint="0.39997558519241921"/>
  </sheetPr>
  <dimension ref="A2:R74"/>
  <sheetViews>
    <sheetView showGridLines="0" topLeftCell="A31" zoomScale="80" zoomScaleNormal="80" workbookViewId="0">
      <selection activeCell="W51" sqref="W51"/>
    </sheetView>
  </sheetViews>
  <sheetFormatPr defaultRowHeight="18.75" x14ac:dyDescent="0.15"/>
  <cols>
    <col min="1" max="1" width="29.125" style="1" customWidth="1"/>
    <col min="2" max="2" width="24.375" style="2" bestFit="1" customWidth="1"/>
    <col min="3" max="3" width="24.375" style="2" customWidth="1"/>
    <col min="4" max="4" width="8.625" style="2" customWidth="1"/>
    <col min="5" max="5" width="7.5" style="1" bestFit="1" customWidth="1"/>
    <col min="6" max="6" width="7.625" style="1" bestFit="1" customWidth="1"/>
    <col min="7" max="7" width="9.625" style="1" bestFit="1" customWidth="1"/>
    <col min="8" max="8" width="7.625" style="1" bestFit="1" customWidth="1"/>
    <col min="9" max="9" width="9.625" style="1" bestFit="1" customWidth="1"/>
    <col min="10" max="10" width="7.625" style="1" bestFit="1" customWidth="1"/>
    <col min="11" max="11" width="9.625" style="1" bestFit="1" customWidth="1"/>
    <col min="12" max="12" width="7.625" style="1" bestFit="1" customWidth="1"/>
    <col min="13" max="13" width="9.625" style="1" bestFit="1" customWidth="1"/>
    <col min="14" max="14" width="7.625" style="1" bestFit="1" customWidth="1"/>
    <col min="15" max="15" width="9.625" style="1" bestFit="1" customWidth="1"/>
    <col min="16" max="16" width="7.625" style="1" bestFit="1" customWidth="1"/>
    <col min="17" max="17" width="9.625" style="1" bestFit="1" customWidth="1"/>
    <col min="18" max="18" width="7.625" style="1" bestFit="1" customWidth="1"/>
    <col min="19" max="16384" width="9" style="1"/>
  </cols>
  <sheetData>
    <row r="2" spans="1:18" ht="33.75" thickBot="1" x14ac:dyDescent="0.2">
      <c r="B2" s="10"/>
      <c r="C2" s="10"/>
    </row>
    <row r="3" spans="1:18" ht="19.5" thickBot="1" x14ac:dyDescent="0.2">
      <c r="E3" s="94">
        <v>2019</v>
      </c>
      <c r="F3" s="95"/>
      <c r="G3" s="94">
        <v>2020</v>
      </c>
      <c r="H3" s="95"/>
      <c r="I3" s="94">
        <v>2021</v>
      </c>
      <c r="J3" s="95"/>
      <c r="K3" s="94">
        <v>2022</v>
      </c>
      <c r="L3" s="95"/>
      <c r="M3" s="94">
        <v>2023</v>
      </c>
      <c r="N3" s="95"/>
      <c r="O3" s="94">
        <v>2024</v>
      </c>
      <c r="P3" s="95"/>
      <c r="Q3" s="94">
        <v>2025</v>
      </c>
      <c r="R3" s="95"/>
    </row>
    <row r="4" spans="1:18" s="48" customFormat="1" ht="19.5" thickBot="1" x14ac:dyDescent="0.2">
      <c r="B4" s="2"/>
      <c r="C4" s="2"/>
      <c r="D4" s="2"/>
      <c r="E4" s="64" t="s">
        <v>213</v>
      </c>
      <c r="F4" s="14" t="s">
        <v>214</v>
      </c>
      <c r="G4" s="64" t="s">
        <v>213</v>
      </c>
      <c r="H4" s="14" t="s">
        <v>214</v>
      </c>
      <c r="I4" s="64" t="s">
        <v>213</v>
      </c>
      <c r="J4" s="14" t="s">
        <v>214</v>
      </c>
      <c r="K4" s="64" t="s">
        <v>213</v>
      </c>
      <c r="L4" s="14" t="s">
        <v>214</v>
      </c>
      <c r="M4" s="64" t="s">
        <v>213</v>
      </c>
      <c r="N4" s="14" t="s">
        <v>214</v>
      </c>
      <c r="O4" s="64" t="s">
        <v>213</v>
      </c>
      <c r="P4" s="14" t="s">
        <v>214</v>
      </c>
      <c r="Q4" s="64" t="s">
        <v>213</v>
      </c>
      <c r="R4" s="14" t="s">
        <v>214</v>
      </c>
    </row>
    <row r="5" spans="1:18" ht="38.25" thickBot="1" x14ac:dyDescent="0.2">
      <c r="C5" s="93" t="s">
        <v>360</v>
      </c>
      <c r="E5" s="15" t="s">
        <v>211</v>
      </c>
      <c r="F5" s="49" t="s">
        <v>212</v>
      </c>
      <c r="G5" s="15" t="s">
        <v>211</v>
      </c>
      <c r="H5" s="49" t="s">
        <v>212</v>
      </c>
      <c r="I5" s="15" t="s">
        <v>211</v>
      </c>
      <c r="J5" s="49" t="s">
        <v>212</v>
      </c>
      <c r="K5" s="15" t="s">
        <v>211</v>
      </c>
      <c r="L5" s="49" t="s">
        <v>212</v>
      </c>
      <c r="M5" s="15" t="s">
        <v>211</v>
      </c>
      <c r="N5" s="49" t="s">
        <v>212</v>
      </c>
      <c r="O5" s="15" t="s">
        <v>211</v>
      </c>
      <c r="P5" s="49" t="s">
        <v>212</v>
      </c>
      <c r="Q5" s="15" t="s">
        <v>211</v>
      </c>
      <c r="R5" s="49" t="s">
        <v>212</v>
      </c>
    </row>
    <row r="6" spans="1:18" ht="22.5" x14ac:dyDescent="0.15">
      <c r="A6" s="120" t="s">
        <v>195</v>
      </c>
      <c r="B6" s="104" t="s">
        <v>200</v>
      </c>
      <c r="C6" s="104" t="s">
        <v>208</v>
      </c>
      <c r="D6" s="118" t="s">
        <v>14</v>
      </c>
      <c r="E6" s="26">
        <v>35</v>
      </c>
      <c r="F6" s="52">
        <v>15</v>
      </c>
      <c r="G6" s="35"/>
      <c r="H6" s="54"/>
      <c r="I6" s="26">
        <v>77</v>
      </c>
      <c r="J6" s="52">
        <v>25</v>
      </c>
      <c r="K6" s="26">
        <v>109</v>
      </c>
      <c r="L6" s="52">
        <v>21</v>
      </c>
      <c r="M6" s="26">
        <v>140</v>
      </c>
      <c r="N6" s="52">
        <v>29</v>
      </c>
      <c r="O6" s="26">
        <v>159</v>
      </c>
      <c r="P6" s="52">
        <v>28</v>
      </c>
      <c r="Q6" s="36">
        <v>183</v>
      </c>
      <c r="R6" s="65">
        <v>31</v>
      </c>
    </row>
    <row r="7" spans="1:18" ht="19.5" thickBot="1" x14ac:dyDescent="0.2">
      <c r="A7" s="121"/>
      <c r="B7" s="105"/>
      <c r="C7" s="117"/>
      <c r="D7" s="119"/>
      <c r="E7" s="19"/>
      <c r="F7" s="53">
        <f>F6/E6</f>
        <v>0.42857142857142855</v>
      </c>
      <c r="G7" s="100"/>
      <c r="H7" s="97"/>
      <c r="I7" s="47">
        <f>I6/E6</f>
        <v>2.2000000000000002</v>
      </c>
      <c r="J7" s="53">
        <f>J6/I6</f>
        <v>0.32467532467532467</v>
      </c>
      <c r="K7" s="47">
        <f>K6/I6</f>
        <v>1.4155844155844155</v>
      </c>
      <c r="L7" s="53">
        <f>L6/K6</f>
        <v>0.19266055045871561</v>
      </c>
      <c r="M7" s="47">
        <f>M6/K6</f>
        <v>1.2844036697247707</v>
      </c>
      <c r="N7" s="53">
        <f>N6/M6</f>
        <v>0.20714285714285716</v>
      </c>
      <c r="O7" s="47">
        <f>O6/M6</f>
        <v>1.1357142857142857</v>
      </c>
      <c r="P7" s="53">
        <f>P6/O6</f>
        <v>0.1761006289308176</v>
      </c>
      <c r="Q7" s="47">
        <f>Q6/O6</f>
        <v>1.1509433962264151</v>
      </c>
      <c r="R7" s="63">
        <f>R6/Q6</f>
        <v>0.16939890710382513</v>
      </c>
    </row>
    <row r="8" spans="1:18" ht="22.5" x14ac:dyDescent="0.15">
      <c r="A8" s="121"/>
      <c r="B8" s="104" t="s">
        <v>201</v>
      </c>
      <c r="C8" s="117"/>
      <c r="D8" s="118" t="s">
        <v>14</v>
      </c>
      <c r="E8" s="35"/>
      <c r="F8" s="54"/>
      <c r="G8" s="35"/>
      <c r="H8" s="54"/>
      <c r="I8" s="26">
        <v>78</v>
      </c>
      <c r="J8" s="52">
        <v>23</v>
      </c>
      <c r="K8" s="26">
        <v>190</v>
      </c>
      <c r="L8" s="52">
        <v>35</v>
      </c>
      <c r="M8" s="26">
        <v>292</v>
      </c>
      <c r="N8" s="52">
        <v>47</v>
      </c>
      <c r="O8" s="26">
        <v>379</v>
      </c>
      <c r="P8" s="52">
        <v>77</v>
      </c>
      <c r="Q8" s="28">
        <v>386</v>
      </c>
      <c r="R8" s="62">
        <v>81</v>
      </c>
    </row>
    <row r="9" spans="1:18" ht="19.5" thickBot="1" x14ac:dyDescent="0.2">
      <c r="A9" s="121"/>
      <c r="B9" s="105"/>
      <c r="C9" s="105"/>
      <c r="D9" s="119"/>
      <c r="E9" s="100"/>
      <c r="F9" s="97"/>
      <c r="G9" s="100"/>
      <c r="H9" s="97"/>
      <c r="I9" s="19"/>
      <c r="J9" s="53">
        <f>J8/I8</f>
        <v>0.29487179487179488</v>
      </c>
      <c r="K9" s="47">
        <f>K8/I8</f>
        <v>2.4358974358974357</v>
      </c>
      <c r="L9" s="53">
        <f>L8/K8</f>
        <v>0.18421052631578946</v>
      </c>
      <c r="M9" s="47">
        <f>M8/K8</f>
        <v>1.5368421052631578</v>
      </c>
      <c r="N9" s="53">
        <f>N8/M8</f>
        <v>0.16095890410958905</v>
      </c>
      <c r="O9" s="47">
        <f>O8/M8</f>
        <v>1.297945205479452</v>
      </c>
      <c r="P9" s="53">
        <f>P8/O8</f>
        <v>0.20316622691292877</v>
      </c>
      <c r="Q9" s="47">
        <f>Q8/O8</f>
        <v>1.0184696569920844</v>
      </c>
      <c r="R9" s="63">
        <f>R8/Q8</f>
        <v>0.20984455958549222</v>
      </c>
    </row>
    <row r="10" spans="1:18" ht="22.5" x14ac:dyDescent="0.15">
      <c r="A10" s="121"/>
      <c r="B10" s="104" t="s">
        <v>196</v>
      </c>
      <c r="C10" s="104" t="s">
        <v>207</v>
      </c>
      <c r="D10" s="118" t="s">
        <v>38</v>
      </c>
      <c r="E10" s="26">
        <v>282</v>
      </c>
      <c r="F10" s="52">
        <v>80</v>
      </c>
      <c r="G10" s="35"/>
      <c r="H10" s="54"/>
      <c r="I10" s="26">
        <v>312</v>
      </c>
      <c r="J10" s="52">
        <v>86</v>
      </c>
      <c r="K10" s="26">
        <v>255</v>
      </c>
      <c r="L10" s="52">
        <v>49</v>
      </c>
      <c r="M10" s="26">
        <v>250</v>
      </c>
      <c r="N10" s="52">
        <v>40</v>
      </c>
      <c r="O10" s="26">
        <v>224</v>
      </c>
      <c r="P10" s="52">
        <v>31</v>
      </c>
      <c r="Q10" s="28">
        <v>214</v>
      </c>
      <c r="R10" s="62">
        <v>27</v>
      </c>
    </row>
    <row r="11" spans="1:18" ht="19.5" thickBot="1" x14ac:dyDescent="0.2">
      <c r="A11" s="121"/>
      <c r="B11" s="105"/>
      <c r="C11" s="117"/>
      <c r="D11" s="119"/>
      <c r="E11" s="19"/>
      <c r="F11" s="53">
        <f>F10/E10</f>
        <v>0.28368794326241137</v>
      </c>
      <c r="G11" s="100"/>
      <c r="H11" s="97"/>
      <c r="I11" s="47">
        <f>I10/E10</f>
        <v>1.1063829787234043</v>
      </c>
      <c r="J11" s="53">
        <f>J10/I10</f>
        <v>0.27564102564102566</v>
      </c>
      <c r="K11" s="47">
        <f>K10/I10</f>
        <v>0.81730769230769229</v>
      </c>
      <c r="L11" s="53">
        <f>L10/K10</f>
        <v>0.19215686274509805</v>
      </c>
      <c r="M11" s="47">
        <f>M10/K10</f>
        <v>0.98039215686274506</v>
      </c>
      <c r="N11" s="53">
        <f>N10/M10</f>
        <v>0.16</v>
      </c>
      <c r="O11" s="47">
        <f>O10/M10</f>
        <v>0.89600000000000002</v>
      </c>
      <c r="P11" s="53">
        <f>P10/O10</f>
        <v>0.13839285714285715</v>
      </c>
      <c r="Q11" s="47">
        <f>Q10/O10</f>
        <v>0.9553571428571429</v>
      </c>
      <c r="R11" s="63">
        <f>R10/Q10</f>
        <v>0.12616822429906541</v>
      </c>
    </row>
    <row r="12" spans="1:18" ht="22.5" x14ac:dyDescent="0.15">
      <c r="A12" s="121"/>
      <c r="B12" s="104" t="s">
        <v>197</v>
      </c>
      <c r="C12" s="117"/>
      <c r="D12" s="118" t="s">
        <v>38</v>
      </c>
      <c r="E12" s="26">
        <v>229</v>
      </c>
      <c r="F12" s="52">
        <v>89</v>
      </c>
      <c r="G12" s="35"/>
      <c r="H12" s="54"/>
      <c r="I12" s="26">
        <v>264</v>
      </c>
      <c r="J12" s="52">
        <v>68</v>
      </c>
      <c r="K12" s="26">
        <v>222</v>
      </c>
      <c r="L12" s="52">
        <v>53</v>
      </c>
      <c r="M12" s="26">
        <v>150</v>
      </c>
      <c r="N12" s="52">
        <v>33</v>
      </c>
      <c r="O12" s="26">
        <v>158</v>
      </c>
      <c r="P12" s="52">
        <v>34</v>
      </c>
      <c r="Q12" s="28">
        <v>180</v>
      </c>
      <c r="R12" s="62">
        <v>37</v>
      </c>
    </row>
    <row r="13" spans="1:18" ht="19.5" thickBot="1" x14ac:dyDescent="0.2">
      <c r="A13" s="121"/>
      <c r="B13" s="105"/>
      <c r="C13" s="105"/>
      <c r="D13" s="119"/>
      <c r="E13" s="19"/>
      <c r="F13" s="53">
        <f>F12/E12</f>
        <v>0.388646288209607</v>
      </c>
      <c r="G13" s="100"/>
      <c r="H13" s="97"/>
      <c r="I13" s="47">
        <f>I12/E12</f>
        <v>1.1528384279475983</v>
      </c>
      <c r="J13" s="53">
        <f>J12/I12</f>
        <v>0.25757575757575757</v>
      </c>
      <c r="K13" s="47">
        <f>K12/I12</f>
        <v>0.84090909090909094</v>
      </c>
      <c r="L13" s="53">
        <f>L12/K12</f>
        <v>0.23873873873873874</v>
      </c>
      <c r="M13" s="47">
        <f>M12/K12</f>
        <v>0.67567567567567566</v>
      </c>
      <c r="N13" s="53">
        <f>N12/M12</f>
        <v>0.22</v>
      </c>
      <c r="O13" s="47">
        <f>O12/M12</f>
        <v>1.0533333333333332</v>
      </c>
      <c r="P13" s="53">
        <f>P12/O12</f>
        <v>0.21518987341772153</v>
      </c>
      <c r="Q13" s="47">
        <f>Q12/O12</f>
        <v>1.139240506329114</v>
      </c>
      <c r="R13" s="63">
        <f>R12/Q12</f>
        <v>0.20555555555555555</v>
      </c>
    </row>
    <row r="14" spans="1:18" ht="22.5" x14ac:dyDescent="0.15">
      <c r="A14" s="121"/>
      <c r="B14" s="104" t="s">
        <v>198</v>
      </c>
      <c r="C14" s="104" t="s">
        <v>206</v>
      </c>
      <c r="D14" s="118" t="s">
        <v>38</v>
      </c>
      <c r="E14" s="26">
        <v>362</v>
      </c>
      <c r="F14" s="52">
        <v>143</v>
      </c>
      <c r="G14" s="35"/>
      <c r="H14" s="54"/>
      <c r="I14" s="26">
        <v>321</v>
      </c>
      <c r="J14" s="52">
        <v>103</v>
      </c>
      <c r="K14" s="26">
        <v>265</v>
      </c>
      <c r="L14" s="52">
        <v>68</v>
      </c>
      <c r="M14" s="26">
        <v>213</v>
      </c>
      <c r="N14" s="52">
        <v>38</v>
      </c>
      <c r="O14" s="26">
        <v>209</v>
      </c>
      <c r="P14" s="52">
        <v>67</v>
      </c>
      <c r="Q14" s="28">
        <v>194</v>
      </c>
      <c r="R14" s="62">
        <v>50</v>
      </c>
    </row>
    <row r="15" spans="1:18" ht="19.5" thickBot="1" x14ac:dyDescent="0.2">
      <c r="A15" s="121"/>
      <c r="B15" s="105"/>
      <c r="C15" s="117"/>
      <c r="D15" s="119"/>
      <c r="E15" s="19"/>
      <c r="F15" s="53">
        <f>F14/E14</f>
        <v>0.39502762430939226</v>
      </c>
      <c r="G15" s="100"/>
      <c r="H15" s="97"/>
      <c r="I15" s="47">
        <f>I14/E14</f>
        <v>0.88674033149171272</v>
      </c>
      <c r="J15" s="53">
        <f>J14/I14</f>
        <v>0.32087227414330216</v>
      </c>
      <c r="K15" s="47">
        <f>K14/I14</f>
        <v>0.82554517133956384</v>
      </c>
      <c r="L15" s="53">
        <f>L14/K14</f>
        <v>0.25660377358490566</v>
      </c>
      <c r="M15" s="47">
        <f>M14/K14</f>
        <v>0.80377358490566042</v>
      </c>
      <c r="N15" s="53">
        <f>N14/M14</f>
        <v>0.17840375586854459</v>
      </c>
      <c r="O15" s="47">
        <f>O14/M14</f>
        <v>0.98122065727699526</v>
      </c>
      <c r="P15" s="53">
        <f>P14/O14</f>
        <v>0.32057416267942584</v>
      </c>
      <c r="Q15" s="47">
        <f>Q14/O14</f>
        <v>0.92822966507177029</v>
      </c>
      <c r="R15" s="63">
        <f>R14/Q14</f>
        <v>0.25773195876288657</v>
      </c>
    </row>
    <row r="16" spans="1:18" ht="22.5" x14ac:dyDescent="0.15">
      <c r="A16" s="121"/>
      <c r="B16" s="104" t="s">
        <v>199</v>
      </c>
      <c r="C16" s="117"/>
      <c r="D16" s="118" t="s">
        <v>38</v>
      </c>
      <c r="E16" s="26">
        <v>307</v>
      </c>
      <c r="F16" s="52">
        <v>101</v>
      </c>
      <c r="G16" s="35"/>
      <c r="H16" s="54"/>
      <c r="I16" s="26">
        <v>289</v>
      </c>
      <c r="J16" s="52">
        <v>101</v>
      </c>
      <c r="K16" s="26">
        <v>214</v>
      </c>
      <c r="L16" s="52">
        <v>53</v>
      </c>
      <c r="M16" s="26">
        <v>151</v>
      </c>
      <c r="N16" s="52">
        <v>24</v>
      </c>
      <c r="O16" s="26">
        <v>92</v>
      </c>
      <c r="P16" s="52">
        <v>9</v>
      </c>
      <c r="Q16" s="28">
        <v>74</v>
      </c>
      <c r="R16" s="62">
        <v>13</v>
      </c>
    </row>
    <row r="17" spans="1:18" ht="19.5" thickBot="1" x14ac:dyDescent="0.2">
      <c r="A17" s="122"/>
      <c r="B17" s="105"/>
      <c r="C17" s="105"/>
      <c r="D17" s="119"/>
      <c r="E17" s="19"/>
      <c r="F17" s="53">
        <f>F16/E16</f>
        <v>0.3289902280130293</v>
      </c>
      <c r="G17" s="100"/>
      <c r="H17" s="97"/>
      <c r="I17" s="47">
        <f>I16/E16</f>
        <v>0.94136807817589574</v>
      </c>
      <c r="J17" s="53">
        <f>J16/I16</f>
        <v>0.34948096885813151</v>
      </c>
      <c r="K17" s="47">
        <f>K16/I16</f>
        <v>0.74048442906574397</v>
      </c>
      <c r="L17" s="53">
        <f>L16/K16</f>
        <v>0.24766355140186916</v>
      </c>
      <c r="M17" s="47">
        <f>M16/K16</f>
        <v>0.70560747663551404</v>
      </c>
      <c r="N17" s="53">
        <f>N16/M16</f>
        <v>0.15894039735099338</v>
      </c>
      <c r="O17" s="47">
        <f>O16/M16</f>
        <v>0.60927152317880795</v>
      </c>
      <c r="P17" s="53">
        <f>P16/O16</f>
        <v>9.7826086956521743E-2</v>
      </c>
      <c r="Q17" s="47">
        <f>Q16/O16</f>
        <v>0.80434782608695654</v>
      </c>
      <c r="R17" s="63">
        <f>R16/Q16</f>
        <v>0.17567567567567569</v>
      </c>
    </row>
    <row r="18" spans="1:18" ht="22.5" x14ac:dyDescent="0.15">
      <c r="A18" s="120" t="s">
        <v>8</v>
      </c>
      <c r="B18" s="104" t="s">
        <v>202</v>
      </c>
      <c r="C18" s="104" t="s">
        <v>209</v>
      </c>
      <c r="D18" s="118" t="s">
        <v>14</v>
      </c>
      <c r="E18" s="26">
        <v>202</v>
      </c>
      <c r="F18" s="52">
        <v>44</v>
      </c>
      <c r="G18" s="26">
        <v>251</v>
      </c>
      <c r="H18" s="52">
        <v>39</v>
      </c>
      <c r="I18" s="26">
        <v>299</v>
      </c>
      <c r="J18" s="52">
        <v>36</v>
      </c>
      <c r="K18" s="26">
        <v>346</v>
      </c>
      <c r="L18" s="52">
        <v>27</v>
      </c>
      <c r="M18" s="26">
        <v>349</v>
      </c>
      <c r="N18" s="52">
        <v>20</v>
      </c>
      <c r="O18" s="35"/>
      <c r="P18" s="54"/>
      <c r="Q18" s="28">
        <v>354</v>
      </c>
      <c r="R18" s="62">
        <v>21</v>
      </c>
    </row>
    <row r="19" spans="1:18" ht="19.5" thickBot="1" x14ac:dyDescent="0.2">
      <c r="A19" s="121"/>
      <c r="B19" s="105"/>
      <c r="C19" s="117"/>
      <c r="D19" s="119"/>
      <c r="E19" s="19"/>
      <c r="F19" s="53">
        <f>F18/E18</f>
        <v>0.21782178217821782</v>
      </c>
      <c r="G19" s="47">
        <f>G18/E18</f>
        <v>1.2425742574257426</v>
      </c>
      <c r="H19" s="53">
        <f>H18/G18</f>
        <v>0.15537848605577689</v>
      </c>
      <c r="I19" s="47">
        <f>I18/G18</f>
        <v>1.1912350597609562</v>
      </c>
      <c r="J19" s="53">
        <f>J18/I18</f>
        <v>0.12040133779264214</v>
      </c>
      <c r="K19" s="47">
        <f>K18/I18</f>
        <v>1.1571906354515049</v>
      </c>
      <c r="L19" s="53">
        <f>L18/K18</f>
        <v>7.8034682080924858E-2</v>
      </c>
      <c r="M19" s="47">
        <f>M18/K18</f>
        <v>1.0086705202312138</v>
      </c>
      <c r="N19" s="53">
        <f>N18/M18</f>
        <v>5.730659025787966E-2</v>
      </c>
      <c r="O19" s="102"/>
      <c r="P19" s="103"/>
      <c r="Q19" s="47">
        <f>Q18/M18</f>
        <v>1.0143266475644699</v>
      </c>
      <c r="R19" s="63">
        <f>R18/Q18</f>
        <v>5.9322033898305086E-2</v>
      </c>
    </row>
    <row r="20" spans="1:18" ht="22.5" x14ac:dyDescent="0.15">
      <c r="A20" s="121"/>
      <c r="B20" s="104" t="s">
        <v>203</v>
      </c>
      <c r="C20" s="117"/>
      <c r="D20" s="118" t="s">
        <v>14</v>
      </c>
      <c r="E20" s="26">
        <v>91</v>
      </c>
      <c r="F20" s="52">
        <v>37</v>
      </c>
      <c r="G20" s="26">
        <v>119</v>
      </c>
      <c r="H20" s="52">
        <v>36</v>
      </c>
      <c r="I20" s="26">
        <v>142</v>
      </c>
      <c r="J20" s="52">
        <v>28</v>
      </c>
      <c r="K20" s="26">
        <v>165</v>
      </c>
      <c r="L20" s="52">
        <v>25</v>
      </c>
      <c r="M20" s="26">
        <v>172</v>
      </c>
      <c r="N20" s="52">
        <v>23</v>
      </c>
      <c r="O20" s="35"/>
      <c r="P20" s="54"/>
      <c r="Q20" s="28">
        <v>210</v>
      </c>
      <c r="R20" s="62">
        <v>33</v>
      </c>
    </row>
    <row r="21" spans="1:18" ht="19.5" thickBot="1" x14ac:dyDescent="0.2">
      <c r="A21" s="121"/>
      <c r="B21" s="105"/>
      <c r="C21" s="105"/>
      <c r="D21" s="119"/>
      <c r="E21" s="19"/>
      <c r="F21" s="53">
        <f>F20/E20</f>
        <v>0.40659340659340659</v>
      </c>
      <c r="G21" s="47">
        <f>G20/E20</f>
        <v>1.3076923076923077</v>
      </c>
      <c r="H21" s="53">
        <f>H20/G20</f>
        <v>0.30252100840336132</v>
      </c>
      <c r="I21" s="47">
        <f>I20/G20</f>
        <v>1.1932773109243697</v>
      </c>
      <c r="J21" s="53">
        <f>J20/I20</f>
        <v>0.19718309859154928</v>
      </c>
      <c r="K21" s="47">
        <f>K20/I20</f>
        <v>1.1619718309859155</v>
      </c>
      <c r="L21" s="53">
        <f>L20/K20</f>
        <v>0.15151515151515152</v>
      </c>
      <c r="M21" s="47">
        <f>M20/K20</f>
        <v>1.0424242424242425</v>
      </c>
      <c r="N21" s="53">
        <f>N20/M20</f>
        <v>0.13372093023255813</v>
      </c>
      <c r="O21" s="102"/>
      <c r="P21" s="103"/>
      <c r="Q21" s="47">
        <f>Q20/M20</f>
        <v>1.2209302325581395</v>
      </c>
      <c r="R21" s="63">
        <f>R20/Q20</f>
        <v>0.15714285714285714</v>
      </c>
    </row>
    <row r="22" spans="1:18" ht="22.5" x14ac:dyDescent="0.15">
      <c r="A22" s="121"/>
      <c r="B22" s="104" t="s">
        <v>204</v>
      </c>
      <c r="C22" s="104" t="s">
        <v>210</v>
      </c>
      <c r="D22" s="118" t="s">
        <v>38</v>
      </c>
      <c r="E22" s="26">
        <v>127</v>
      </c>
      <c r="F22" s="52">
        <v>64</v>
      </c>
      <c r="G22" s="26">
        <v>117</v>
      </c>
      <c r="H22" s="52">
        <v>60</v>
      </c>
      <c r="I22" s="26">
        <v>116</v>
      </c>
      <c r="J22" s="52">
        <v>39</v>
      </c>
      <c r="K22" s="26">
        <v>109</v>
      </c>
      <c r="L22" s="52">
        <v>31</v>
      </c>
      <c r="M22" s="26">
        <v>103</v>
      </c>
      <c r="N22" s="52">
        <v>16</v>
      </c>
      <c r="O22" s="35"/>
      <c r="P22" s="54"/>
      <c r="Q22" s="28">
        <v>116</v>
      </c>
      <c r="R22" s="62">
        <v>27</v>
      </c>
    </row>
    <row r="23" spans="1:18" ht="19.5" thickBot="1" x14ac:dyDescent="0.2">
      <c r="A23" s="121"/>
      <c r="B23" s="105"/>
      <c r="C23" s="117"/>
      <c r="D23" s="119"/>
      <c r="E23" s="19"/>
      <c r="F23" s="53">
        <f>F22/E22</f>
        <v>0.50393700787401574</v>
      </c>
      <c r="G23" s="47">
        <f>G22/E22</f>
        <v>0.92125984251968507</v>
      </c>
      <c r="H23" s="53">
        <f>H22/G22</f>
        <v>0.51282051282051277</v>
      </c>
      <c r="I23" s="47">
        <f>I22/G22</f>
        <v>0.99145299145299148</v>
      </c>
      <c r="J23" s="53">
        <f>J22/I22</f>
        <v>0.33620689655172414</v>
      </c>
      <c r="K23" s="47">
        <f>K22/I22</f>
        <v>0.93965517241379315</v>
      </c>
      <c r="L23" s="53">
        <f>L22/K22</f>
        <v>0.28440366972477066</v>
      </c>
      <c r="M23" s="47">
        <f>M22/K22</f>
        <v>0.94495412844036697</v>
      </c>
      <c r="N23" s="53">
        <f>N22/M22</f>
        <v>0.1553398058252427</v>
      </c>
      <c r="O23" s="102"/>
      <c r="P23" s="103"/>
      <c r="Q23" s="47">
        <f>Q22/M22</f>
        <v>1.1262135922330097</v>
      </c>
      <c r="R23" s="63">
        <f>R22/Q22</f>
        <v>0.23275862068965517</v>
      </c>
    </row>
    <row r="24" spans="1:18" ht="22.5" x14ac:dyDescent="0.15">
      <c r="A24" s="121"/>
      <c r="B24" s="104" t="s">
        <v>205</v>
      </c>
      <c r="C24" s="117"/>
      <c r="D24" s="118" t="s">
        <v>38</v>
      </c>
      <c r="E24" s="26">
        <v>231</v>
      </c>
      <c r="F24" s="52">
        <v>123</v>
      </c>
      <c r="G24" s="26">
        <v>236</v>
      </c>
      <c r="H24" s="52">
        <v>107</v>
      </c>
      <c r="I24" s="26">
        <v>237</v>
      </c>
      <c r="J24" s="52">
        <v>83</v>
      </c>
      <c r="K24" s="26">
        <v>218</v>
      </c>
      <c r="L24" s="52">
        <v>40</v>
      </c>
      <c r="M24" s="26">
        <v>209</v>
      </c>
      <c r="N24" s="52">
        <v>44</v>
      </c>
      <c r="O24" s="35"/>
      <c r="P24" s="54"/>
      <c r="Q24" s="28">
        <v>168</v>
      </c>
      <c r="R24" s="62">
        <v>33</v>
      </c>
    </row>
    <row r="25" spans="1:18" ht="19.5" thickBot="1" x14ac:dyDescent="0.2">
      <c r="A25" s="122"/>
      <c r="B25" s="105"/>
      <c r="C25" s="105"/>
      <c r="D25" s="119"/>
      <c r="E25" s="19"/>
      <c r="F25" s="53">
        <f>F24/E24</f>
        <v>0.53246753246753242</v>
      </c>
      <c r="G25" s="47">
        <f>G24/E24</f>
        <v>1.0216450216450217</v>
      </c>
      <c r="H25" s="53">
        <f>H24/G24</f>
        <v>0.45338983050847459</v>
      </c>
      <c r="I25" s="47">
        <f>I24/G24</f>
        <v>1.0042372881355932</v>
      </c>
      <c r="J25" s="53">
        <f>J24/I24</f>
        <v>0.35021097046413502</v>
      </c>
      <c r="K25" s="47">
        <f>K24/I24</f>
        <v>0.91983122362869196</v>
      </c>
      <c r="L25" s="53">
        <f>L24/K24</f>
        <v>0.1834862385321101</v>
      </c>
      <c r="M25" s="47">
        <f>M24/K24</f>
        <v>0.95871559633027525</v>
      </c>
      <c r="N25" s="53">
        <f>N24/M24</f>
        <v>0.21052631578947367</v>
      </c>
      <c r="O25" s="102"/>
      <c r="P25" s="103"/>
      <c r="Q25" s="47">
        <f>Q24/M24</f>
        <v>0.80382775119617222</v>
      </c>
      <c r="R25" s="63">
        <f>R24/Q24</f>
        <v>0.19642857142857142</v>
      </c>
    </row>
    <row r="26" spans="1:18" ht="29.25" customHeight="1" x14ac:dyDescent="0.15">
      <c r="A26" s="120" t="s">
        <v>216</v>
      </c>
      <c r="B26" s="104" t="s">
        <v>217</v>
      </c>
      <c r="C26" s="125" t="s">
        <v>220</v>
      </c>
      <c r="D26" s="118" t="s">
        <v>14</v>
      </c>
      <c r="E26" s="26">
        <v>202</v>
      </c>
      <c r="F26" s="52">
        <v>44</v>
      </c>
      <c r="G26" s="26">
        <v>251</v>
      </c>
      <c r="H26" s="52">
        <v>39</v>
      </c>
      <c r="I26" s="26">
        <v>299</v>
      </c>
      <c r="J26" s="52">
        <v>36</v>
      </c>
      <c r="K26" s="26">
        <v>346</v>
      </c>
      <c r="L26" s="52">
        <v>27</v>
      </c>
      <c r="M26" s="26">
        <v>349</v>
      </c>
      <c r="N26" s="52">
        <v>20</v>
      </c>
      <c r="O26" s="35"/>
      <c r="P26" s="54"/>
      <c r="Q26" s="28">
        <v>354</v>
      </c>
      <c r="R26" s="62">
        <v>21</v>
      </c>
    </row>
    <row r="27" spans="1:18" ht="29.25" customHeight="1" thickBot="1" x14ac:dyDescent="0.2">
      <c r="A27" s="123"/>
      <c r="B27" s="105"/>
      <c r="C27" s="126"/>
      <c r="D27" s="119"/>
      <c r="E27" s="19"/>
      <c r="F27" s="53">
        <f>F26/E26</f>
        <v>0.21782178217821782</v>
      </c>
      <c r="G27" s="47">
        <f>G26/E26</f>
        <v>1.2425742574257426</v>
      </c>
      <c r="H27" s="53">
        <f>H26/G26</f>
        <v>0.15537848605577689</v>
      </c>
      <c r="I27" s="47">
        <f>I26/G26</f>
        <v>1.1912350597609562</v>
      </c>
      <c r="J27" s="53">
        <f>J26/I26</f>
        <v>0.12040133779264214</v>
      </c>
      <c r="K27" s="47">
        <f>K26/I26</f>
        <v>1.1571906354515049</v>
      </c>
      <c r="L27" s="53">
        <f>L26/K26</f>
        <v>7.8034682080924858E-2</v>
      </c>
      <c r="M27" s="47">
        <f>M26/K26</f>
        <v>1.0086705202312138</v>
      </c>
      <c r="N27" s="53">
        <f>N26/M26</f>
        <v>5.730659025787966E-2</v>
      </c>
      <c r="O27" s="102"/>
      <c r="P27" s="103"/>
      <c r="Q27" s="47">
        <f>Q26/M26</f>
        <v>1.0143266475644699</v>
      </c>
      <c r="R27" s="63">
        <f>R26/Q26</f>
        <v>5.9322033898305086E-2</v>
      </c>
    </row>
    <row r="28" spans="1:18" ht="22.5" x14ac:dyDescent="0.15">
      <c r="A28" s="123"/>
      <c r="B28" s="104" t="s">
        <v>218</v>
      </c>
      <c r="C28" s="104" t="s">
        <v>321</v>
      </c>
      <c r="D28" s="118" t="s">
        <v>38</v>
      </c>
      <c r="E28" s="26">
        <v>91</v>
      </c>
      <c r="F28" s="52">
        <v>37</v>
      </c>
      <c r="G28" s="26">
        <v>119</v>
      </c>
      <c r="H28" s="52">
        <v>36</v>
      </c>
      <c r="I28" s="26">
        <v>142</v>
      </c>
      <c r="J28" s="52">
        <v>28</v>
      </c>
      <c r="K28" s="26">
        <v>165</v>
      </c>
      <c r="L28" s="52">
        <v>25</v>
      </c>
      <c r="M28" s="26">
        <v>172</v>
      </c>
      <c r="N28" s="52">
        <v>23</v>
      </c>
      <c r="O28" s="35"/>
      <c r="P28" s="54"/>
      <c r="Q28" s="28">
        <v>210</v>
      </c>
      <c r="R28" s="62">
        <v>33</v>
      </c>
    </row>
    <row r="29" spans="1:18" ht="19.5" thickBot="1" x14ac:dyDescent="0.2">
      <c r="A29" s="123"/>
      <c r="B29" s="105"/>
      <c r="C29" s="117"/>
      <c r="D29" s="119"/>
      <c r="E29" s="19"/>
      <c r="F29" s="53">
        <f>F28/E28</f>
        <v>0.40659340659340659</v>
      </c>
      <c r="G29" s="47">
        <f>G28/E28</f>
        <v>1.3076923076923077</v>
      </c>
      <c r="H29" s="53">
        <f>H28/G28</f>
        <v>0.30252100840336132</v>
      </c>
      <c r="I29" s="47">
        <f>I28/G28</f>
        <v>1.1932773109243697</v>
      </c>
      <c r="J29" s="53">
        <f>J28/I28</f>
        <v>0.19718309859154928</v>
      </c>
      <c r="K29" s="47">
        <f>K28/I28</f>
        <v>1.1619718309859155</v>
      </c>
      <c r="L29" s="53">
        <f>L28/K28</f>
        <v>0.15151515151515152</v>
      </c>
      <c r="M29" s="47">
        <f>M28/K28</f>
        <v>1.0424242424242425</v>
      </c>
      <c r="N29" s="53">
        <f>N28/M28</f>
        <v>0.13372093023255813</v>
      </c>
      <c r="O29" s="102"/>
      <c r="P29" s="103"/>
      <c r="Q29" s="47">
        <f>Q28/M28</f>
        <v>1.2209302325581395</v>
      </c>
      <c r="R29" s="63">
        <f>R28/Q28</f>
        <v>0.15714285714285714</v>
      </c>
    </row>
    <row r="30" spans="1:18" ht="22.5" x14ac:dyDescent="0.15">
      <c r="A30" s="123"/>
      <c r="B30" s="104" t="s">
        <v>219</v>
      </c>
      <c r="C30" s="117"/>
      <c r="D30" s="118" t="s">
        <v>38</v>
      </c>
      <c r="E30" s="26">
        <v>127</v>
      </c>
      <c r="F30" s="52">
        <v>64</v>
      </c>
      <c r="G30" s="26">
        <v>117</v>
      </c>
      <c r="H30" s="52">
        <v>60</v>
      </c>
      <c r="I30" s="26">
        <v>116</v>
      </c>
      <c r="J30" s="52">
        <v>39</v>
      </c>
      <c r="K30" s="26">
        <v>109</v>
      </c>
      <c r="L30" s="52">
        <v>31</v>
      </c>
      <c r="M30" s="26">
        <v>103</v>
      </c>
      <c r="N30" s="52">
        <v>16</v>
      </c>
      <c r="O30" s="35"/>
      <c r="P30" s="54"/>
      <c r="Q30" s="28">
        <v>116</v>
      </c>
      <c r="R30" s="62">
        <v>27</v>
      </c>
    </row>
    <row r="31" spans="1:18" ht="19.5" thickBot="1" x14ac:dyDescent="0.2">
      <c r="A31" s="124"/>
      <c r="B31" s="105"/>
      <c r="C31" s="105"/>
      <c r="D31" s="119"/>
      <c r="E31" s="19"/>
      <c r="F31" s="53">
        <f>F30/E30</f>
        <v>0.50393700787401574</v>
      </c>
      <c r="G31" s="47">
        <f>G30/E30</f>
        <v>0.92125984251968507</v>
      </c>
      <c r="H31" s="53">
        <f>H30/G30</f>
        <v>0.51282051282051277</v>
      </c>
      <c r="I31" s="47">
        <f>I30/G30</f>
        <v>0.99145299145299148</v>
      </c>
      <c r="J31" s="53">
        <f>J30/I30</f>
        <v>0.33620689655172414</v>
      </c>
      <c r="K31" s="47">
        <f>K30/I30</f>
        <v>0.93965517241379315</v>
      </c>
      <c r="L31" s="53">
        <f>L30/K30</f>
        <v>0.28440366972477066</v>
      </c>
      <c r="M31" s="47">
        <f>M30/K30</f>
        <v>0.94495412844036697</v>
      </c>
      <c r="N31" s="53">
        <f>N30/M30</f>
        <v>0.1553398058252427</v>
      </c>
      <c r="O31" s="102"/>
      <c r="P31" s="103"/>
      <c r="Q31" s="47">
        <f>Q30/M30</f>
        <v>1.1262135922330097</v>
      </c>
      <c r="R31" s="63">
        <f>R30/Q30</f>
        <v>0.23275862068965517</v>
      </c>
    </row>
    <row r="32" spans="1:18" ht="19.5" customHeight="1" x14ac:dyDescent="0.15">
      <c r="A32" s="120" t="s">
        <v>330</v>
      </c>
      <c r="B32" s="104" t="s">
        <v>336</v>
      </c>
      <c r="C32" s="104" t="s">
        <v>352</v>
      </c>
      <c r="D32" s="118" t="s">
        <v>14</v>
      </c>
      <c r="E32" s="35">
        <v>91</v>
      </c>
      <c r="F32" s="54">
        <v>37</v>
      </c>
      <c r="G32" s="26">
        <v>17</v>
      </c>
      <c r="H32" s="52">
        <v>0</v>
      </c>
      <c r="I32" s="26">
        <v>29</v>
      </c>
      <c r="J32" s="52">
        <v>0</v>
      </c>
      <c r="K32" s="26">
        <v>56</v>
      </c>
      <c r="L32" s="52">
        <v>2</v>
      </c>
      <c r="M32" s="26">
        <v>86</v>
      </c>
      <c r="N32" s="52">
        <v>6</v>
      </c>
      <c r="O32" s="26">
        <v>105</v>
      </c>
      <c r="P32" s="52">
        <v>7</v>
      </c>
      <c r="Q32" s="36">
        <v>136</v>
      </c>
      <c r="R32" s="65">
        <v>9</v>
      </c>
    </row>
    <row r="33" spans="1:18" ht="19.5" customHeight="1" thickBot="1" x14ac:dyDescent="0.2">
      <c r="A33" s="121"/>
      <c r="B33" s="105"/>
      <c r="C33" s="105"/>
      <c r="D33" s="119"/>
      <c r="E33" s="18"/>
      <c r="F33" s="58"/>
      <c r="G33" s="47">
        <f>G32/E32</f>
        <v>0.18681318681318682</v>
      </c>
      <c r="H33" s="53">
        <f>H32/G32</f>
        <v>0</v>
      </c>
      <c r="I33" s="47">
        <f>I32/G32</f>
        <v>1.7058823529411764</v>
      </c>
      <c r="J33" s="53">
        <f>J32/I32</f>
        <v>0</v>
      </c>
      <c r="K33" s="47">
        <f>K32/I32</f>
        <v>1.9310344827586208</v>
      </c>
      <c r="L33" s="53">
        <f>L32/K32</f>
        <v>3.5714285714285712E-2</v>
      </c>
      <c r="M33" s="47">
        <f>M32/K32</f>
        <v>1.5357142857142858</v>
      </c>
      <c r="N33" s="53">
        <f>N32/M32</f>
        <v>6.9767441860465115E-2</v>
      </c>
      <c r="O33" s="47">
        <f>O32/M32</f>
        <v>1.2209302325581395</v>
      </c>
      <c r="P33" s="53">
        <f>P32/O32</f>
        <v>6.6666666666666666E-2</v>
      </c>
      <c r="Q33" s="47">
        <f>Q32/O32</f>
        <v>1.2952380952380953</v>
      </c>
      <c r="R33" s="63">
        <f>R32/Q32</f>
        <v>6.6176470588235295E-2</v>
      </c>
    </row>
    <row r="34" spans="1:18" ht="19.5" customHeight="1" x14ac:dyDescent="0.15">
      <c r="A34" s="121"/>
      <c r="B34" s="104" t="s">
        <v>332</v>
      </c>
      <c r="C34" s="104" t="s">
        <v>352</v>
      </c>
      <c r="D34" s="118" t="s">
        <v>38</v>
      </c>
      <c r="E34" s="26">
        <v>130</v>
      </c>
      <c r="F34" s="52">
        <v>28</v>
      </c>
      <c r="G34" s="26">
        <v>148</v>
      </c>
      <c r="H34" s="52">
        <v>26</v>
      </c>
      <c r="I34" s="26">
        <v>136</v>
      </c>
      <c r="J34" s="52">
        <v>24</v>
      </c>
      <c r="K34" s="26">
        <v>123</v>
      </c>
      <c r="L34" s="52">
        <v>17</v>
      </c>
      <c r="M34" s="26">
        <v>107</v>
      </c>
      <c r="N34" s="52">
        <v>11</v>
      </c>
      <c r="O34" s="26">
        <v>157</v>
      </c>
      <c r="P34" s="52">
        <v>9</v>
      </c>
      <c r="Q34" s="28">
        <v>175</v>
      </c>
      <c r="R34" s="62">
        <v>9</v>
      </c>
    </row>
    <row r="35" spans="1:18" ht="19.5" customHeight="1" thickBot="1" x14ac:dyDescent="0.2">
      <c r="A35" s="121"/>
      <c r="B35" s="105"/>
      <c r="C35" s="117"/>
      <c r="D35" s="119"/>
      <c r="E35" s="19"/>
      <c r="F35" s="53">
        <f>F34/E34</f>
        <v>0.2153846153846154</v>
      </c>
      <c r="G35" s="47">
        <f>G34/E34</f>
        <v>1.1384615384615384</v>
      </c>
      <c r="H35" s="53">
        <f>H34/G34</f>
        <v>0.17567567567567569</v>
      </c>
      <c r="I35" s="47">
        <f>I34/G34</f>
        <v>0.91891891891891897</v>
      </c>
      <c r="J35" s="53">
        <f>J34/I34</f>
        <v>0.17647058823529413</v>
      </c>
      <c r="K35" s="47">
        <f>K34/I34</f>
        <v>0.90441176470588236</v>
      </c>
      <c r="L35" s="53">
        <f>L34/K34</f>
        <v>0.13821138211382114</v>
      </c>
      <c r="M35" s="47">
        <f>M34/K34</f>
        <v>0.86991869918699183</v>
      </c>
      <c r="N35" s="53">
        <f>N34/M34</f>
        <v>0.10280373831775701</v>
      </c>
      <c r="O35" s="47">
        <f>O34/M34</f>
        <v>1.4672897196261683</v>
      </c>
      <c r="P35" s="53">
        <f>P34/O34</f>
        <v>5.7324840764331211E-2</v>
      </c>
      <c r="Q35" s="47">
        <f>Q34/O34</f>
        <v>1.1146496815286624</v>
      </c>
      <c r="R35" s="63">
        <f>R34/Q34</f>
        <v>5.1428571428571428E-2</v>
      </c>
    </row>
    <row r="36" spans="1:18" ht="19.5" customHeight="1" x14ac:dyDescent="0.15">
      <c r="A36" s="121"/>
      <c r="B36" s="104" t="s">
        <v>333</v>
      </c>
      <c r="C36" s="117"/>
      <c r="D36" s="118" t="s">
        <v>38</v>
      </c>
      <c r="E36" s="35">
        <v>91</v>
      </c>
      <c r="F36" s="54">
        <v>37</v>
      </c>
      <c r="G36" s="35"/>
      <c r="H36" s="54">
        <v>36</v>
      </c>
      <c r="I36" s="35">
        <v>142</v>
      </c>
      <c r="J36" s="54">
        <v>28</v>
      </c>
      <c r="K36" s="26">
        <v>37</v>
      </c>
      <c r="L36" s="52">
        <v>1</v>
      </c>
      <c r="M36" s="26">
        <v>63</v>
      </c>
      <c r="N36" s="52">
        <v>1</v>
      </c>
      <c r="O36" s="26">
        <v>69</v>
      </c>
      <c r="P36" s="52">
        <v>1</v>
      </c>
      <c r="Q36" s="28">
        <v>106</v>
      </c>
      <c r="R36" s="62">
        <v>0</v>
      </c>
    </row>
    <row r="37" spans="1:18" ht="19.5" customHeight="1" thickBot="1" x14ac:dyDescent="0.2">
      <c r="A37" s="121"/>
      <c r="B37" s="105"/>
      <c r="C37" s="105"/>
      <c r="D37" s="119"/>
      <c r="E37" s="18"/>
      <c r="F37" s="58"/>
      <c r="G37" s="84"/>
      <c r="H37" s="58"/>
      <c r="I37" s="84"/>
      <c r="J37" s="58"/>
      <c r="K37" s="47">
        <f>K36/I36</f>
        <v>0.26056338028169013</v>
      </c>
      <c r="L37" s="53">
        <f>L36/K36</f>
        <v>2.7027027027027029E-2</v>
      </c>
      <c r="M37" s="47">
        <f>M36/K36</f>
        <v>1.7027027027027026</v>
      </c>
      <c r="N37" s="53">
        <f>N36/M36</f>
        <v>1.5873015873015872E-2</v>
      </c>
      <c r="O37" s="47">
        <f>O36/M36</f>
        <v>1.0952380952380953</v>
      </c>
      <c r="P37" s="53">
        <f>P36/O36</f>
        <v>1.4492753623188406E-2</v>
      </c>
      <c r="Q37" s="47">
        <f>Q36/O36</f>
        <v>1.536231884057971</v>
      </c>
      <c r="R37" s="63">
        <f>R36/Q36</f>
        <v>0</v>
      </c>
    </row>
    <row r="38" spans="1:18" ht="19.5" customHeight="1" x14ac:dyDescent="0.15">
      <c r="A38" s="121"/>
      <c r="B38" s="104" t="s">
        <v>334</v>
      </c>
      <c r="C38" s="104" t="s">
        <v>352</v>
      </c>
      <c r="D38" s="118" t="s">
        <v>21</v>
      </c>
      <c r="E38" s="26">
        <v>77</v>
      </c>
      <c r="F38" s="52">
        <v>2</v>
      </c>
      <c r="G38" s="26">
        <v>61</v>
      </c>
      <c r="H38" s="52">
        <v>3</v>
      </c>
      <c r="I38" s="26">
        <v>67</v>
      </c>
      <c r="J38" s="52">
        <v>2</v>
      </c>
      <c r="K38" s="26">
        <v>77</v>
      </c>
      <c r="L38" s="52">
        <v>1</v>
      </c>
      <c r="M38" s="26">
        <v>78</v>
      </c>
      <c r="N38" s="52">
        <v>1</v>
      </c>
      <c r="O38" s="26">
        <v>74</v>
      </c>
      <c r="P38" s="52">
        <v>0</v>
      </c>
      <c r="Q38" s="28">
        <v>57</v>
      </c>
      <c r="R38" s="62">
        <v>0</v>
      </c>
    </row>
    <row r="39" spans="1:18" ht="19.5" customHeight="1" thickBot="1" x14ac:dyDescent="0.2">
      <c r="A39" s="121"/>
      <c r="B39" s="105"/>
      <c r="C39" s="117"/>
      <c r="D39" s="119"/>
      <c r="E39" s="19"/>
      <c r="F39" s="53">
        <f>F38/E38</f>
        <v>2.5974025974025976E-2</v>
      </c>
      <c r="G39" s="47">
        <f>G38/E38</f>
        <v>0.79220779220779225</v>
      </c>
      <c r="H39" s="53">
        <f>H38/G38</f>
        <v>4.9180327868852458E-2</v>
      </c>
      <c r="I39" s="47">
        <f>I38/G38</f>
        <v>1.098360655737705</v>
      </c>
      <c r="J39" s="53">
        <f>J38/I38</f>
        <v>2.9850746268656716E-2</v>
      </c>
      <c r="K39" s="47">
        <f>K38/I38</f>
        <v>1.1492537313432836</v>
      </c>
      <c r="L39" s="53">
        <f>L38/K38</f>
        <v>1.2987012987012988E-2</v>
      </c>
      <c r="M39" s="47">
        <f>M38/K38</f>
        <v>1.0129870129870129</v>
      </c>
      <c r="N39" s="53">
        <f>N38/M38</f>
        <v>1.282051282051282E-2</v>
      </c>
      <c r="O39" s="47">
        <f>O38/M38</f>
        <v>0.94871794871794868</v>
      </c>
      <c r="P39" s="53">
        <f>P38/O38</f>
        <v>0</v>
      </c>
      <c r="Q39" s="47">
        <f>Q38/O38</f>
        <v>0.77027027027027029</v>
      </c>
      <c r="R39" s="63">
        <f>R38/Q38</f>
        <v>0</v>
      </c>
    </row>
    <row r="40" spans="1:18" ht="19.5" customHeight="1" x14ac:dyDescent="0.15">
      <c r="A40" s="121"/>
      <c r="B40" s="104" t="s">
        <v>335</v>
      </c>
      <c r="C40" s="117"/>
      <c r="D40" s="118" t="s">
        <v>21</v>
      </c>
      <c r="E40" s="26">
        <v>119</v>
      </c>
      <c r="F40" s="52">
        <v>5</v>
      </c>
      <c r="G40" s="26">
        <v>110</v>
      </c>
      <c r="H40" s="52">
        <v>5</v>
      </c>
      <c r="I40" s="26">
        <v>103</v>
      </c>
      <c r="J40" s="52">
        <v>3</v>
      </c>
      <c r="K40" s="26">
        <v>124</v>
      </c>
      <c r="L40" s="52">
        <v>4</v>
      </c>
      <c r="M40" s="26">
        <v>123</v>
      </c>
      <c r="N40" s="52">
        <v>6</v>
      </c>
      <c r="O40" s="26">
        <v>83</v>
      </c>
      <c r="P40" s="52">
        <v>4</v>
      </c>
      <c r="Q40" s="28">
        <v>41</v>
      </c>
      <c r="R40" s="62">
        <v>0</v>
      </c>
    </row>
    <row r="41" spans="1:18" ht="19.5" customHeight="1" thickBot="1" x14ac:dyDescent="0.2">
      <c r="A41" s="121"/>
      <c r="B41" s="105"/>
      <c r="C41" s="105"/>
      <c r="D41" s="119"/>
      <c r="E41" s="19"/>
      <c r="F41" s="53">
        <f>F40/E40</f>
        <v>4.2016806722689079E-2</v>
      </c>
      <c r="G41" s="47">
        <f>G40/E40</f>
        <v>0.92436974789915971</v>
      </c>
      <c r="H41" s="53">
        <f>H40/G40</f>
        <v>4.5454545454545456E-2</v>
      </c>
      <c r="I41" s="47">
        <f>I40/G40</f>
        <v>0.9363636363636364</v>
      </c>
      <c r="J41" s="53">
        <f>J40/I40</f>
        <v>2.9126213592233011E-2</v>
      </c>
      <c r="K41" s="47">
        <f>K40/I40</f>
        <v>1.203883495145631</v>
      </c>
      <c r="L41" s="53">
        <f>L40/K40</f>
        <v>3.2258064516129031E-2</v>
      </c>
      <c r="M41" s="47">
        <f>M40/K40</f>
        <v>0.99193548387096775</v>
      </c>
      <c r="N41" s="53">
        <f>N40/M40</f>
        <v>4.878048780487805E-2</v>
      </c>
      <c r="O41" s="47">
        <f>O40/M40</f>
        <v>0.67479674796747968</v>
      </c>
      <c r="P41" s="53">
        <f>P40/O40</f>
        <v>4.8192771084337352E-2</v>
      </c>
      <c r="Q41" s="47">
        <f>Q40/O40</f>
        <v>0.49397590361445781</v>
      </c>
      <c r="R41" s="63">
        <f>R40/Q40</f>
        <v>0</v>
      </c>
    </row>
    <row r="42" spans="1:18" ht="19.5" customHeight="1" x14ac:dyDescent="0.15">
      <c r="A42" s="121"/>
      <c r="B42" s="104" t="s">
        <v>168</v>
      </c>
      <c r="C42" s="127"/>
      <c r="D42" s="118" t="s">
        <v>21</v>
      </c>
      <c r="E42" s="26">
        <v>181</v>
      </c>
      <c r="F42" s="52">
        <v>1</v>
      </c>
      <c r="G42" s="26">
        <v>166</v>
      </c>
      <c r="H42" s="52">
        <v>4</v>
      </c>
      <c r="I42" s="26">
        <v>173</v>
      </c>
      <c r="J42" s="52">
        <v>3</v>
      </c>
      <c r="K42" s="26">
        <v>179</v>
      </c>
      <c r="L42" s="52">
        <v>3</v>
      </c>
      <c r="M42" s="26">
        <v>147</v>
      </c>
      <c r="N42" s="52">
        <v>1</v>
      </c>
      <c r="O42" s="26">
        <v>132</v>
      </c>
      <c r="P42" s="52">
        <v>2</v>
      </c>
      <c r="Q42" s="26">
        <v>110</v>
      </c>
      <c r="R42" s="52">
        <v>1</v>
      </c>
    </row>
    <row r="43" spans="1:18" ht="19.5" customHeight="1" thickBot="1" x14ac:dyDescent="0.2">
      <c r="A43" s="121"/>
      <c r="B43" s="105"/>
      <c r="C43" s="128"/>
      <c r="D43" s="119"/>
      <c r="E43" s="19"/>
      <c r="F43" s="53">
        <f>F42/E42</f>
        <v>5.5248618784530384E-3</v>
      </c>
      <c r="G43" s="47">
        <f>G42/E42</f>
        <v>0.91712707182320441</v>
      </c>
      <c r="H43" s="53">
        <f>H42/G42</f>
        <v>2.4096385542168676E-2</v>
      </c>
      <c r="I43" s="47">
        <f>I42/G42</f>
        <v>1.0421686746987953</v>
      </c>
      <c r="J43" s="53">
        <f>J42/I42</f>
        <v>1.7341040462427744E-2</v>
      </c>
      <c r="K43" s="47">
        <f>K42/I42</f>
        <v>1.0346820809248556</v>
      </c>
      <c r="L43" s="53">
        <f>L42/K42</f>
        <v>1.6759776536312849E-2</v>
      </c>
      <c r="M43" s="47">
        <f>M42/K42</f>
        <v>0.82122905027932958</v>
      </c>
      <c r="N43" s="53">
        <f>N42/M42</f>
        <v>6.8027210884353739E-3</v>
      </c>
      <c r="O43" s="47">
        <f>O42/M42</f>
        <v>0.89795918367346939</v>
      </c>
      <c r="P43" s="53">
        <f>P42/O42</f>
        <v>1.5151515151515152E-2</v>
      </c>
      <c r="Q43" s="47">
        <f>Q42/O42</f>
        <v>0.83333333333333337</v>
      </c>
      <c r="R43" s="53">
        <f>R42/Q42</f>
        <v>9.0909090909090905E-3</v>
      </c>
    </row>
    <row r="44" spans="1:18" ht="19.5" customHeight="1" x14ac:dyDescent="0.15">
      <c r="A44" s="121"/>
      <c r="B44" s="104" t="s">
        <v>163</v>
      </c>
      <c r="C44" s="121" t="s">
        <v>355</v>
      </c>
      <c r="D44" s="118" t="s">
        <v>21</v>
      </c>
      <c r="E44" s="26">
        <v>145</v>
      </c>
      <c r="F44" s="52">
        <v>19</v>
      </c>
      <c r="G44" s="26">
        <v>148</v>
      </c>
      <c r="H44" s="52">
        <v>20</v>
      </c>
      <c r="I44" s="26">
        <v>146</v>
      </c>
      <c r="J44" s="52">
        <v>12</v>
      </c>
      <c r="K44" s="26">
        <v>109</v>
      </c>
      <c r="L44" s="52">
        <v>6</v>
      </c>
      <c r="M44" s="26">
        <v>98</v>
      </c>
      <c r="N44" s="52">
        <v>7</v>
      </c>
      <c r="O44" s="26">
        <v>43</v>
      </c>
      <c r="P44" s="52">
        <v>4</v>
      </c>
      <c r="Q44" s="26">
        <v>34</v>
      </c>
      <c r="R44" s="52">
        <v>3</v>
      </c>
    </row>
    <row r="45" spans="1:18" ht="19.5" customHeight="1" thickBot="1" x14ac:dyDescent="0.2">
      <c r="A45" s="122"/>
      <c r="B45" s="105"/>
      <c r="C45" s="124"/>
      <c r="D45" s="119"/>
      <c r="E45" s="19"/>
      <c r="F45" s="53">
        <f>F44/E44</f>
        <v>0.1310344827586207</v>
      </c>
      <c r="G45" s="47">
        <f>G44/E44</f>
        <v>1.0206896551724138</v>
      </c>
      <c r="H45" s="53">
        <f>H44/G44</f>
        <v>0.13513513513513514</v>
      </c>
      <c r="I45" s="47">
        <f>I44/G44</f>
        <v>0.98648648648648651</v>
      </c>
      <c r="J45" s="53">
        <f>J44/I44</f>
        <v>8.2191780821917804E-2</v>
      </c>
      <c r="K45" s="47">
        <f>K44/I44</f>
        <v>0.74657534246575341</v>
      </c>
      <c r="L45" s="53">
        <f>L44/K44</f>
        <v>5.5045871559633031E-2</v>
      </c>
      <c r="M45" s="47">
        <f>M44/K44</f>
        <v>0.8990825688073395</v>
      </c>
      <c r="N45" s="53">
        <f>N44/M44</f>
        <v>7.1428571428571425E-2</v>
      </c>
      <c r="O45" s="47">
        <f>O44/M44</f>
        <v>0.43877551020408162</v>
      </c>
      <c r="P45" s="53">
        <f>P44/O44</f>
        <v>9.3023255813953487E-2</v>
      </c>
      <c r="Q45" s="47">
        <f>Q44/O44</f>
        <v>0.79069767441860461</v>
      </c>
      <c r="R45" s="53">
        <f>R44/Q44</f>
        <v>8.8235294117647065E-2</v>
      </c>
    </row>
    <row r="46" spans="1:18" ht="19.5" customHeight="1" x14ac:dyDescent="0.15">
      <c r="A46" s="120" t="s">
        <v>337</v>
      </c>
      <c r="B46" s="104" t="s">
        <v>336</v>
      </c>
      <c r="C46" s="104" t="s">
        <v>353</v>
      </c>
      <c r="D46" s="118" t="s">
        <v>14</v>
      </c>
      <c r="E46" s="35">
        <v>91</v>
      </c>
      <c r="F46" s="54">
        <v>37</v>
      </c>
      <c r="G46" s="26">
        <v>6</v>
      </c>
      <c r="H46" s="52">
        <v>0</v>
      </c>
      <c r="I46" s="26">
        <v>19</v>
      </c>
      <c r="J46" s="52">
        <v>1</v>
      </c>
      <c r="K46" s="26">
        <v>45</v>
      </c>
      <c r="L46" s="52">
        <v>4</v>
      </c>
      <c r="M46" s="26">
        <v>62</v>
      </c>
      <c r="N46" s="52">
        <v>6</v>
      </c>
      <c r="O46" s="26">
        <v>78</v>
      </c>
      <c r="P46" s="52">
        <v>11</v>
      </c>
      <c r="Q46" s="26">
        <v>108</v>
      </c>
      <c r="R46" s="52">
        <v>13</v>
      </c>
    </row>
    <row r="47" spans="1:18" ht="19.5" customHeight="1" thickBot="1" x14ac:dyDescent="0.2">
      <c r="A47" s="121"/>
      <c r="B47" s="105"/>
      <c r="C47" s="105"/>
      <c r="D47" s="119"/>
      <c r="E47" s="18"/>
      <c r="F47" s="58"/>
      <c r="G47" s="19"/>
      <c r="H47" s="53">
        <f>H46/G46</f>
        <v>0</v>
      </c>
      <c r="I47" s="47">
        <f>I46/G46</f>
        <v>3.1666666666666665</v>
      </c>
      <c r="J47" s="53">
        <f>J46/I46</f>
        <v>5.2631578947368418E-2</v>
      </c>
      <c r="K47" s="47">
        <f>K46/I46</f>
        <v>2.3684210526315788</v>
      </c>
      <c r="L47" s="53">
        <f>L46/K46</f>
        <v>8.8888888888888892E-2</v>
      </c>
      <c r="M47" s="47">
        <f>M46/K46</f>
        <v>1.3777777777777778</v>
      </c>
      <c r="N47" s="53">
        <f>N46/M46</f>
        <v>9.6774193548387094E-2</v>
      </c>
      <c r="O47" s="47">
        <f>O46/M46</f>
        <v>1.2580645161290323</v>
      </c>
      <c r="P47" s="53">
        <f>P46/O46</f>
        <v>0.14102564102564102</v>
      </c>
      <c r="Q47" s="47">
        <f>Q46/O46</f>
        <v>1.3846153846153846</v>
      </c>
      <c r="R47" s="53">
        <f>R46/Q46</f>
        <v>0.12037037037037036</v>
      </c>
    </row>
    <row r="48" spans="1:18" ht="19.5" customHeight="1" x14ac:dyDescent="0.15">
      <c r="A48" s="121"/>
      <c r="B48" s="104" t="s">
        <v>331</v>
      </c>
      <c r="C48" s="104" t="s">
        <v>354</v>
      </c>
      <c r="D48" s="118" t="s">
        <v>38</v>
      </c>
      <c r="E48" s="26">
        <v>102</v>
      </c>
      <c r="F48" s="52">
        <v>35</v>
      </c>
      <c r="G48" s="26">
        <v>104</v>
      </c>
      <c r="H48" s="52">
        <v>32</v>
      </c>
      <c r="I48" s="26">
        <v>112</v>
      </c>
      <c r="J48" s="52">
        <v>27</v>
      </c>
      <c r="K48" s="26">
        <v>132</v>
      </c>
      <c r="L48" s="52">
        <v>20</v>
      </c>
      <c r="M48" s="26">
        <v>171</v>
      </c>
      <c r="N48" s="52">
        <v>11</v>
      </c>
      <c r="O48" s="26">
        <v>195</v>
      </c>
      <c r="P48" s="52">
        <v>13</v>
      </c>
      <c r="Q48" s="28">
        <v>206</v>
      </c>
      <c r="R48" s="62">
        <v>17</v>
      </c>
    </row>
    <row r="49" spans="1:18" ht="19.5" customHeight="1" thickBot="1" x14ac:dyDescent="0.2">
      <c r="A49" s="121"/>
      <c r="B49" s="105"/>
      <c r="C49" s="105"/>
      <c r="D49" s="119"/>
      <c r="E49" s="19"/>
      <c r="F49" s="53">
        <f>F48/E48</f>
        <v>0.34313725490196079</v>
      </c>
      <c r="G49" s="47">
        <f>G48/E48</f>
        <v>1.0196078431372548</v>
      </c>
      <c r="H49" s="53">
        <f>H48/G48</f>
        <v>0.30769230769230771</v>
      </c>
      <c r="I49" s="47">
        <f>I48/G48</f>
        <v>1.0769230769230769</v>
      </c>
      <c r="J49" s="53">
        <f>J48/I48</f>
        <v>0.24107142857142858</v>
      </c>
      <c r="K49" s="47">
        <f>K48/I48</f>
        <v>1.1785714285714286</v>
      </c>
      <c r="L49" s="53">
        <f>L48/K48</f>
        <v>0.15151515151515152</v>
      </c>
      <c r="M49" s="47">
        <f>M48/K48</f>
        <v>1.2954545454545454</v>
      </c>
      <c r="N49" s="53">
        <f>N48/M48</f>
        <v>6.4327485380116955E-2</v>
      </c>
      <c r="O49" s="47">
        <f>O48/M48</f>
        <v>1.1403508771929824</v>
      </c>
      <c r="P49" s="53">
        <f>P48/O48</f>
        <v>6.6666666666666666E-2</v>
      </c>
      <c r="Q49" s="47">
        <f>Q48/O48</f>
        <v>1.0564102564102564</v>
      </c>
      <c r="R49" s="53">
        <f>R48/Q48</f>
        <v>8.2524271844660199E-2</v>
      </c>
    </row>
    <row r="50" spans="1:18" ht="19.5" customHeight="1" x14ac:dyDescent="0.15">
      <c r="A50" s="121"/>
      <c r="B50" s="104" t="s">
        <v>338</v>
      </c>
      <c r="C50" s="104" t="s">
        <v>355</v>
      </c>
      <c r="D50" s="118" t="s">
        <v>21</v>
      </c>
      <c r="E50" s="26">
        <v>141</v>
      </c>
      <c r="F50" s="52">
        <v>14</v>
      </c>
      <c r="G50" s="26">
        <v>138</v>
      </c>
      <c r="H50" s="52">
        <v>20</v>
      </c>
      <c r="I50" s="26">
        <v>133</v>
      </c>
      <c r="J50" s="52">
        <v>8</v>
      </c>
      <c r="K50" s="26">
        <v>92</v>
      </c>
      <c r="L50" s="52">
        <v>11</v>
      </c>
      <c r="M50" s="26">
        <v>53</v>
      </c>
      <c r="N50" s="52">
        <v>7</v>
      </c>
      <c r="O50" s="26">
        <v>36</v>
      </c>
      <c r="P50" s="52">
        <v>9</v>
      </c>
      <c r="Q50" s="36">
        <v>21</v>
      </c>
      <c r="R50" s="65">
        <v>4</v>
      </c>
    </row>
    <row r="51" spans="1:18" ht="19.5" customHeight="1" thickBot="1" x14ac:dyDescent="0.2">
      <c r="A51" s="121"/>
      <c r="B51" s="105"/>
      <c r="C51" s="105"/>
      <c r="D51" s="119"/>
      <c r="E51" s="19"/>
      <c r="F51" s="53">
        <f>F50/E50</f>
        <v>9.9290780141843976E-2</v>
      </c>
      <c r="G51" s="47">
        <f>G50/E50</f>
        <v>0.97872340425531912</v>
      </c>
      <c r="H51" s="53">
        <f>H50/G50</f>
        <v>0.14492753623188406</v>
      </c>
      <c r="I51" s="47">
        <f>I50/G50</f>
        <v>0.96376811594202894</v>
      </c>
      <c r="J51" s="53">
        <f>J50/I50</f>
        <v>6.0150375939849621E-2</v>
      </c>
      <c r="K51" s="47">
        <f>K50/I50</f>
        <v>0.69172932330827064</v>
      </c>
      <c r="L51" s="53">
        <f>L50/K50</f>
        <v>0.11956521739130435</v>
      </c>
      <c r="M51" s="47">
        <f>M50/K50</f>
        <v>0.57608695652173914</v>
      </c>
      <c r="N51" s="53">
        <f>N50/M50</f>
        <v>0.13207547169811321</v>
      </c>
      <c r="O51" s="47">
        <f>O50/M50</f>
        <v>0.67924528301886788</v>
      </c>
      <c r="P51" s="53">
        <f>P50/O50</f>
        <v>0.25</v>
      </c>
      <c r="Q51" s="47">
        <f>Q50/O50</f>
        <v>0.58333333333333337</v>
      </c>
      <c r="R51" s="53">
        <f>R50/Q50</f>
        <v>0.19047619047619047</v>
      </c>
    </row>
    <row r="52" spans="1:18" ht="19.5" customHeight="1" x14ac:dyDescent="0.15">
      <c r="A52" s="121"/>
      <c r="B52" s="104" t="s">
        <v>334</v>
      </c>
      <c r="C52" s="125"/>
      <c r="D52" s="118" t="s">
        <v>21</v>
      </c>
      <c r="E52" s="26">
        <v>144</v>
      </c>
      <c r="F52" s="52">
        <v>14</v>
      </c>
      <c r="G52" s="26">
        <v>143</v>
      </c>
      <c r="H52" s="52">
        <v>18</v>
      </c>
      <c r="I52" s="26">
        <v>134</v>
      </c>
      <c r="J52" s="52">
        <v>15</v>
      </c>
      <c r="K52" s="26">
        <v>114</v>
      </c>
      <c r="L52" s="52">
        <v>3</v>
      </c>
      <c r="M52" s="26">
        <v>123</v>
      </c>
      <c r="N52" s="52">
        <v>4</v>
      </c>
      <c r="O52" s="26">
        <v>112</v>
      </c>
      <c r="P52" s="52">
        <v>5</v>
      </c>
      <c r="Q52" s="28">
        <v>68</v>
      </c>
      <c r="R52" s="62">
        <v>4</v>
      </c>
    </row>
    <row r="53" spans="1:18" ht="19.5" customHeight="1" thickBot="1" x14ac:dyDescent="0.2">
      <c r="A53" s="121"/>
      <c r="B53" s="105"/>
      <c r="C53" s="126"/>
      <c r="D53" s="119"/>
      <c r="E53" s="19"/>
      <c r="F53" s="53">
        <f>F52/E52</f>
        <v>9.7222222222222224E-2</v>
      </c>
      <c r="G53" s="47">
        <f>G52/E52</f>
        <v>0.99305555555555558</v>
      </c>
      <c r="H53" s="53">
        <f>H52/G52</f>
        <v>0.12587412587412589</v>
      </c>
      <c r="I53" s="47">
        <f>I52/G52</f>
        <v>0.93706293706293708</v>
      </c>
      <c r="J53" s="53">
        <f>J52/I52</f>
        <v>0.11194029850746269</v>
      </c>
      <c r="K53" s="47">
        <f>K52/I52</f>
        <v>0.85074626865671643</v>
      </c>
      <c r="L53" s="53">
        <f>L52/K52</f>
        <v>2.6315789473684209E-2</v>
      </c>
      <c r="M53" s="47">
        <f>M52/K52</f>
        <v>1.0789473684210527</v>
      </c>
      <c r="N53" s="53">
        <f>N52/M52</f>
        <v>3.2520325203252036E-2</v>
      </c>
      <c r="O53" s="47">
        <f>O52/M52</f>
        <v>0.91056910569105687</v>
      </c>
      <c r="P53" s="53">
        <f>P52/O52</f>
        <v>4.4642857142857144E-2</v>
      </c>
      <c r="Q53" s="47">
        <f>Q52/O52</f>
        <v>0.6071428571428571</v>
      </c>
      <c r="R53" s="53">
        <f>R52/Q52</f>
        <v>5.8823529411764705E-2</v>
      </c>
    </row>
    <row r="54" spans="1:18" ht="19.5" customHeight="1" x14ac:dyDescent="0.15">
      <c r="A54" s="120" t="s">
        <v>339</v>
      </c>
      <c r="B54" s="104" t="s">
        <v>342</v>
      </c>
      <c r="C54" s="104" t="s">
        <v>356</v>
      </c>
      <c r="D54" s="118" t="s">
        <v>14</v>
      </c>
      <c r="E54" s="35">
        <v>91</v>
      </c>
      <c r="F54" s="54">
        <v>37</v>
      </c>
      <c r="G54" s="35">
        <v>91</v>
      </c>
      <c r="H54" s="54">
        <v>37</v>
      </c>
      <c r="I54" s="35">
        <v>91</v>
      </c>
      <c r="J54" s="54">
        <v>37</v>
      </c>
      <c r="K54" s="26">
        <v>20</v>
      </c>
      <c r="L54" s="52">
        <v>2</v>
      </c>
      <c r="M54" s="26">
        <v>41</v>
      </c>
      <c r="N54" s="52">
        <v>2</v>
      </c>
      <c r="O54" s="26">
        <v>58</v>
      </c>
      <c r="P54" s="52">
        <v>5</v>
      </c>
      <c r="Q54" s="36">
        <v>61</v>
      </c>
      <c r="R54" s="65">
        <v>4</v>
      </c>
    </row>
    <row r="55" spans="1:18" ht="19.5" customHeight="1" thickBot="1" x14ac:dyDescent="0.2">
      <c r="A55" s="121"/>
      <c r="B55" s="105"/>
      <c r="C55" s="117"/>
      <c r="D55" s="119"/>
      <c r="E55" s="18"/>
      <c r="F55" s="58"/>
      <c r="G55" s="18"/>
      <c r="H55" s="58"/>
      <c r="I55" s="18"/>
      <c r="J55" s="58"/>
      <c r="K55" s="19"/>
      <c r="L55" s="53">
        <f>L54/K54</f>
        <v>0.1</v>
      </c>
      <c r="M55" s="47">
        <f>M54/K54</f>
        <v>2.0499999999999998</v>
      </c>
      <c r="N55" s="53">
        <f>N54/M54</f>
        <v>4.878048780487805E-2</v>
      </c>
      <c r="O55" s="47">
        <f>O54/M54</f>
        <v>1.4146341463414633</v>
      </c>
      <c r="P55" s="53">
        <f>P54/O54</f>
        <v>8.6206896551724144E-2</v>
      </c>
      <c r="Q55" s="47">
        <f>Q54/O54</f>
        <v>1.0517241379310345</v>
      </c>
      <c r="R55" s="63">
        <f>R54/Q54</f>
        <v>6.5573770491803282E-2</v>
      </c>
    </row>
    <row r="56" spans="1:18" ht="19.5" customHeight="1" x14ac:dyDescent="0.15">
      <c r="A56" s="121"/>
      <c r="B56" s="104" t="s">
        <v>343</v>
      </c>
      <c r="C56" s="117"/>
      <c r="D56" s="118" t="s">
        <v>14</v>
      </c>
      <c r="E56" s="35">
        <v>91</v>
      </c>
      <c r="F56" s="54">
        <v>37</v>
      </c>
      <c r="G56" s="35">
        <v>91</v>
      </c>
      <c r="H56" s="54">
        <v>37</v>
      </c>
      <c r="I56" s="35">
        <v>91</v>
      </c>
      <c r="J56" s="54">
        <v>37</v>
      </c>
      <c r="K56" s="35"/>
      <c r="L56" s="54"/>
      <c r="M56" s="35"/>
      <c r="N56" s="54"/>
      <c r="O56" s="26">
        <v>18</v>
      </c>
      <c r="P56" s="52">
        <v>0</v>
      </c>
      <c r="Q56" s="28">
        <v>26</v>
      </c>
      <c r="R56" s="62">
        <v>2</v>
      </c>
    </row>
    <row r="57" spans="1:18" ht="19.5" customHeight="1" thickBot="1" x14ac:dyDescent="0.2">
      <c r="A57" s="121"/>
      <c r="B57" s="105"/>
      <c r="C57" s="105"/>
      <c r="D57" s="119"/>
      <c r="E57" s="18"/>
      <c r="F57" s="58"/>
      <c r="G57" s="18"/>
      <c r="H57" s="58"/>
      <c r="I57" s="18"/>
      <c r="J57" s="58"/>
      <c r="K57" s="18"/>
      <c r="L57" s="58"/>
      <c r="M57" s="18"/>
      <c r="N57" s="58"/>
      <c r="O57" s="19"/>
      <c r="P57" s="53">
        <f>P56/O56</f>
        <v>0</v>
      </c>
      <c r="Q57" s="47">
        <f>Q56/O56</f>
        <v>1.4444444444444444</v>
      </c>
      <c r="R57" s="63">
        <f>R56/Q56</f>
        <v>7.6923076923076927E-2</v>
      </c>
    </row>
    <row r="58" spans="1:18" ht="19.5" customHeight="1" x14ac:dyDescent="0.15">
      <c r="A58" s="121"/>
      <c r="B58" s="104" t="s">
        <v>340</v>
      </c>
      <c r="C58" s="104" t="s">
        <v>356</v>
      </c>
      <c r="D58" s="118" t="s">
        <v>38</v>
      </c>
      <c r="E58" s="35">
        <v>91</v>
      </c>
      <c r="F58" s="54">
        <v>37</v>
      </c>
      <c r="G58" s="35">
        <v>91</v>
      </c>
      <c r="H58" s="54">
        <v>37</v>
      </c>
      <c r="I58" s="35">
        <v>91</v>
      </c>
      <c r="J58" s="54">
        <v>37</v>
      </c>
      <c r="K58" s="35"/>
      <c r="L58" s="54"/>
      <c r="M58" s="35"/>
      <c r="N58" s="54"/>
      <c r="O58" s="26">
        <v>48</v>
      </c>
      <c r="P58" s="52">
        <v>1</v>
      </c>
      <c r="Q58" s="26">
        <v>116</v>
      </c>
      <c r="R58" s="52">
        <v>3</v>
      </c>
    </row>
    <row r="59" spans="1:18" ht="19.5" customHeight="1" thickBot="1" x14ac:dyDescent="0.2">
      <c r="A59" s="121"/>
      <c r="B59" s="105"/>
      <c r="C59" s="117"/>
      <c r="D59" s="119"/>
      <c r="E59" s="18"/>
      <c r="F59" s="58"/>
      <c r="G59" s="18"/>
      <c r="H59" s="58"/>
      <c r="I59" s="18"/>
      <c r="J59" s="58"/>
      <c r="K59" s="18"/>
      <c r="L59" s="58"/>
      <c r="M59" s="18"/>
      <c r="N59" s="58"/>
      <c r="O59" s="19"/>
      <c r="P59" s="53">
        <f>P58/O58</f>
        <v>2.0833333333333332E-2</v>
      </c>
      <c r="Q59" s="47">
        <f>Q58/O58</f>
        <v>2.4166666666666665</v>
      </c>
      <c r="R59" s="53">
        <f>R58/Q58</f>
        <v>2.5862068965517241E-2</v>
      </c>
    </row>
    <row r="60" spans="1:18" ht="19.5" customHeight="1" x14ac:dyDescent="0.15">
      <c r="A60" s="121"/>
      <c r="B60" s="104" t="s">
        <v>341</v>
      </c>
      <c r="C60" s="117"/>
      <c r="D60" s="118" t="s">
        <v>38</v>
      </c>
      <c r="E60" s="35">
        <v>91</v>
      </c>
      <c r="F60" s="54">
        <v>37</v>
      </c>
      <c r="G60" s="35">
        <v>91</v>
      </c>
      <c r="H60" s="54">
        <v>37</v>
      </c>
      <c r="I60" s="26">
        <v>18</v>
      </c>
      <c r="J60" s="52">
        <v>2</v>
      </c>
      <c r="K60" s="26">
        <v>32</v>
      </c>
      <c r="L60" s="52">
        <v>1</v>
      </c>
      <c r="M60" s="26">
        <v>49</v>
      </c>
      <c r="N60" s="52">
        <v>2</v>
      </c>
      <c r="O60" s="26">
        <v>79</v>
      </c>
      <c r="P60" s="52">
        <v>0</v>
      </c>
      <c r="Q60" s="28">
        <v>100</v>
      </c>
      <c r="R60" s="62">
        <v>0</v>
      </c>
    </row>
    <row r="61" spans="1:18" ht="19.5" customHeight="1" thickBot="1" x14ac:dyDescent="0.2">
      <c r="A61" s="121"/>
      <c r="B61" s="105"/>
      <c r="C61" s="105"/>
      <c r="D61" s="119"/>
      <c r="E61" s="18"/>
      <c r="F61" s="58"/>
      <c r="G61" s="18"/>
      <c r="H61" s="58"/>
      <c r="I61" s="19"/>
      <c r="J61" s="53">
        <f>J60/I60</f>
        <v>0.1111111111111111</v>
      </c>
      <c r="K61" s="47">
        <f>K60/I60</f>
        <v>1.7777777777777777</v>
      </c>
      <c r="L61" s="53">
        <f>L60/K60</f>
        <v>3.125E-2</v>
      </c>
      <c r="M61" s="47">
        <f>M60/K60</f>
        <v>1.53125</v>
      </c>
      <c r="N61" s="53">
        <f>N60/M60</f>
        <v>4.0816326530612242E-2</v>
      </c>
      <c r="O61" s="47">
        <f>O60/M60</f>
        <v>1.6122448979591837</v>
      </c>
      <c r="P61" s="53">
        <f>P60/O60</f>
        <v>0</v>
      </c>
      <c r="Q61" s="47">
        <f>Q60/O60</f>
        <v>1.2658227848101267</v>
      </c>
      <c r="R61" s="63">
        <f>R60/Q60</f>
        <v>0</v>
      </c>
    </row>
    <row r="62" spans="1:18" ht="19.5" customHeight="1" x14ac:dyDescent="0.15">
      <c r="A62" s="121"/>
      <c r="B62" s="104" t="s">
        <v>168</v>
      </c>
      <c r="C62" s="104" t="s">
        <v>356</v>
      </c>
      <c r="D62" s="118" t="s">
        <v>21</v>
      </c>
      <c r="E62" s="26">
        <v>370</v>
      </c>
      <c r="F62" s="52">
        <v>15</v>
      </c>
      <c r="G62" s="35">
        <v>91</v>
      </c>
      <c r="H62" s="54">
        <v>37</v>
      </c>
      <c r="I62" s="26">
        <v>287</v>
      </c>
      <c r="J62" s="52">
        <v>7</v>
      </c>
      <c r="K62" s="26">
        <v>241</v>
      </c>
      <c r="L62" s="52">
        <v>5</v>
      </c>
      <c r="M62" s="26">
        <v>210</v>
      </c>
      <c r="N62" s="52">
        <v>6</v>
      </c>
      <c r="O62" s="26">
        <v>89</v>
      </c>
      <c r="P62" s="52">
        <v>4</v>
      </c>
      <c r="Q62" s="35">
        <v>91</v>
      </c>
      <c r="R62" s="54">
        <v>37</v>
      </c>
    </row>
    <row r="63" spans="1:18" ht="19.5" customHeight="1" thickBot="1" x14ac:dyDescent="0.2">
      <c r="A63" s="122"/>
      <c r="B63" s="105"/>
      <c r="C63" s="105"/>
      <c r="D63" s="119"/>
      <c r="E63" s="19"/>
      <c r="F63" s="53">
        <f>F62/E62</f>
        <v>4.0540540540540543E-2</v>
      </c>
      <c r="G63" s="18"/>
      <c r="H63" s="58"/>
      <c r="I63" s="47">
        <f>I62/E62</f>
        <v>0.77567567567567564</v>
      </c>
      <c r="J63" s="53">
        <f>J62/I62</f>
        <v>2.4390243902439025E-2</v>
      </c>
      <c r="K63" s="47">
        <f>K62/I62</f>
        <v>0.83972125435540068</v>
      </c>
      <c r="L63" s="53">
        <f>L62/K62</f>
        <v>2.0746887966804978E-2</v>
      </c>
      <c r="M63" s="47">
        <f>M62/K62</f>
        <v>0.87136929460580914</v>
      </c>
      <c r="N63" s="53">
        <f>N62/M62</f>
        <v>2.8571428571428571E-2</v>
      </c>
      <c r="O63" s="47">
        <f>O62/M62</f>
        <v>0.4238095238095238</v>
      </c>
      <c r="P63" s="53">
        <f>P62/O62</f>
        <v>4.49438202247191E-2</v>
      </c>
      <c r="Q63" s="18"/>
      <c r="R63" s="58"/>
    </row>
    <row r="64" spans="1:18" ht="19.5" customHeight="1" x14ac:dyDescent="0.15">
      <c r="A64" s="120" t="s">
        <v>345</v>
      </c>
      <c r="B64" s="104" t="s">
        <v>346</v>
      </c>
      <c r="C64" s="104" t="s">
        <v>358</v>
      </c>
      <c r="D64" s="118" t="s">
        <v>14</v>
      </c>
      <c r="E64" s="35">
        <v>91</v>
      </c>
      <c r="F64" s="54">
        <v>37</v>
      </c>
      <c r="G64" s="26">
        <v>8</v>
      </c>
      <c r="H64" s="52">
        <v>0</v>
      </c>
      <c r="I64" s="26">
        <v>17</v>
      </c>
      <c r="J64" s="52">
        <v>0</v>
      </c>
      <c r="K64" s="26">
        <v>56</v>
      </c>
      <c r="L64" s="52">
        <v>1</v>
      </c>
      <c r="M64" s="26">
        <v>71</v>
      </c>
      <c r="N64" s="52">
        <v>2</v>
      </c>
      <c r="O64" s="26">
        <v>80</v>
      </c>
      <c r="P64" s="52">
        <v>8</v>
      </c>
      <c r="Q64" s="26">
        <v>81</v>
      </c>
      <c r="R64" s="52">
        <v>9</v>
      </c>
    </row>
    <row r="65" spans="1:18" ht="19.5" customHeight="1" thickBot="1" x14ac:dyDescent="0.2">
      <c r="A65" s="121"/>
      <c r="B65" s="105"/>
      <c r="C65" s="117"/>
      <c r="D65" s="119"/>
      <c r="E65" s="18"/>
      <c r="F65" s="58"/>
      <c r="G65" s="19"/>
      <c r="H65" s="53">
        <f t="shared" ref="H65" si="0">H64/G64</f>
        <v>0</v>
      </c>
      <c r="I65" s="47">
        <f t="shared" ref="I65" si="1">I64/G64</f>
        <v>2.125</v>
      </c>
      <c r="J65" s="53">
        <f t="shared" ref="J65" si="2">J64/I64</f>
        <v>0</v>
      </c>
      <c r="K65" s="47">
        <f t="shared" ref="K65" si="3">K64/I64</f>
        <v>3.2941176470588234</v>
      </c>
      <c r="L65" s="53">
        <f t="shared" ref="L65" si="4">L64/K64</f>
        <v>1.7857142857142856E-2</v>
      </c>
      <c r="M65" s="47">
        <f t="shared" ref="M65" si="5">M64/K64</f>
        <v>1.2678571428571428</v>
      </c>
      <c r="N65" s="53">
        <f t="shared" ref="N65" si="6">N64/M64</f>
        <v>2.8169014084507043E-2</v>
      </c>
      <c r="O65" s="47">
        <f t="shared" ref="O65" si="7">O64/M64</f>
        <v>1.1267605633802817</v>
      </c>
      <c r="P65" s="53">
        <f t="shared" ref="P65" si="8">P64/O64</f>
        <v>0.1</v>
      </c>
      <c r="Q65" s="47">
        <f t="shared" ref="Q65" si="9">Q64/O64</f>
        <v>1.0125</v>
      </c>
      <c r="R65" s="63">
        <f>R64/Q64</f>
        <v>0.1111111111111111</v>
      </c>
    </row>
    <row r="66" spans="1:18" ht="19.5" customHeight="1" x14ac:dyDescent="0.15">
      <c r="A66" s="121"/>
      <c r="B66" s="104" t="s">
        <v>347</v>
      </c>
      <c r="C66" s="117"/>
      <c r="D66" s="118" t="s">
        <v>14</v>
      </c>
      <c r="E66" s="35">
        <v>91</v>
      </c>
      <c r="F66" s="54">
        <v>37</v>
      </c>
      <c r="G66" s="35">
        <v>91</v>
      </c>
      <c r="H66" s="54">
        <v>37</v>
      </c>
      <c r="I66" s="35">
        <v>91</v>
      </c>
      <c r="J66" s="54">
        <v>37</v>
      </c>
      <c r="K66" s="35">
        <v>91</v>
      </c>
      <c r="L66" s="54">
        <v>37</v>
      </c>
      <c r="M66" s="26">
        <v>25</v>
      </c>
      <c r="N66" s="52">
        <v>1</v>
      </c>
      <c r="O66" s="26">
        <v>45</v>
      </c>
      <c r="P66" s="52">
        <v>5</v>
      </c>
      <c r="Q66" s="26">
        <v>60</v>
      </c>
      <c r="R66" s="52">
        <v>8</v>
      </c>
    </row>
    <row r="67" spans="1:18" ht="19.5" customHeight="1" thickBot="1" x14ac:dyDescent="0.2">
      <c r="A67" s="121"/>
      <c r="B67" s="105"/>
      <c r="C67" s="105"/>
      <c r="D67" s="119"/>
      <c r="E67" s="18"/>
      <c r="F67" s="58"/>
      <c r="G67" s="18"/>
      <c r="H67" s="58"/>
      <c r="I67" s="18"/>
      <c r="J67" s="58"/>
      <c r="K67" s="18"/>
      <c r="L67" s="58"/>
      <c r="M67" s="47">
        <f t="shared" ref="M67" si="10">M66/K66</f>
        <v>0.27472527472527475</v>
      </c>
      <c r="N67" s="53">
        <f t="shared" ref="N67" si="11">N66/M66</f>
        <v>0.04</v>
      </c>
      <c r="O67" s="47">
        <f t="shared" ref="O67" si="12">O66/M66</f>
        <v>1.8</v>
      </c>
      <c r="P67" s="53">
        <f t="shared" ref="P67" si="13">P66/O66</f>
        <v>0.1111111111111111</v>
      </c>
      <c r="Q67" s="47">
        <f t="shared" ref="Q67" si="14">Q66/O66</f>
        <v>1.3333333333333333</v>
      </c>
      <c r="R67" s="63">
        <f>R66/Q66</f>
        <v>0.13333333333333333</v>
      </c>
    </row>
    <row r="68" spans="1:18" ht="19.5" customHeight="1" x14ac:dyDescent="0.15">
      <c r="A68" s="121"/>
      <c r="B68" s="104" t="s">
        <v>348</v>
      </c>
      <c r="C68" s="129" t="s">
        <v>357</v>
      </c>
      <c r="D68" s="118" t="s">
        <v>38</v>
      </c>
      <c r="E68" s="35">
        <v>91</v>
      </c>
      <c r="F68" s="54">
        <v>37</v>
      </c>
      <c r="G68" s="26">
        <v>128</v>
      </c>
      <c r="H68" s="52">
        <v>5</v>
      </c>
      <c r="I68" s="26">
        <v>132</v>
      </c>
      <c r="J68" s="52">
        <v>3</v>
      </c>
      <c r="K68" s="26">
        <v>117</v>
      </c>
      <c r="L68" s="52">
        <v>1</v>
      </c>
      <c r="M68" s="26">
        <v>104</v>
      </c>
      <c r="N68" s="52">
        <v>1</v>
      </c>
      <c r="O68" s="26">
        <v>104</v>
      </c>
      <c r="P68" s="52">
        <v>1</v>
      </c>
      <c r="Q68" s="26">
        <v>52</v>
      </c>
      <c r="R68" s="52">
        <v>3</v>
      </c>
    </row>
    <row r="69" spans="1:18" ht="19.5" customHeight="1" thickBot="1" x14ac:dyDescent="0.2">
      <c r="A69" s="121"/>
      <c r="B69" s="105"/>
      <c r="C69" s="124"/>
      <c r="D69" s="119"/>
      <c r="E69" s="18"/>
      <c r="F69" s="58"/>
      <c r="G69" s="19"/>
      <c r="H69" s="53">
        <f t="shared" ref="H69" si="15">H68/G68</f>
        <v>3.90625E-2</v>
      </c>
      <c r="I69" s="47">
        <f t="shared" ref="I69" si="16">I68/G68</f>
        <v>1.03125</v>
      </c>
      <c r="J69" s="53">
        <f t="shared" ref="J69" si="17">J68/I68</f>
        <v>2.2727272727272728E-2</v>
      </c>
      <c r="K69" s="47">
        <f t="shared" ref="K69" si="18">K68/I68</f>
        <v>0.88636363636363635</v>
      </c>
      <c r="L69" s="53">
        <f t="shared" ref="L69" si="19">L68/K68</f>
        <v>8.5470085470085479E-3</v>
      </c>
      <c r="M69" s="47">
        <f t="shared" ref="M69" si="20">M68/K68</f>
        <v>0.88888888888888884</v>
      </c>
      <c r="N69" s="53">
        <f t="shared" ref="N69" si="21">N68/M68</f>
        <v>9.6153846153846159E-3</v>
      </c>
      <c r="O69" s="47">
        <f t="shared" ref="O69" si="22">O68/M68</f>
        <v>1</v>
      </c>
      <c r="P69" s="53">
        <f t="shared" ref="P69" si="23">P68/O68</f>
        <v>9.6153846153846159E-3</v>
      </c>
      <c r="Q69" s="47">
        <f t="shared" ref="Q69" si="24">Q68/O68</f>
        <v>0.5</v>
      </c>
      <c r="R69" s="63">
        <f>R68/Q68</f>
        <v>5.7692307692307696E-2</v>
      </c>
    </row>
    <row r="70" spans="1:18" ht="19.5" customHeight="1" x14ac:dyDescent="0.15">
      <c r="A70" s="121"/>
      <c r="B70" s="104" t="s">
        <v>349</v>
      </c>
      <c r="C70" s="104" t="s">
        <v>359</v>
      </c>
      <c r="D70" s="118" t="s">
        <v>38</v>
      </c>
      <c r="E70" s="35">
        <v>91</v>
      </c>
      <c r="F70" s="54">
        <v>37</v>
      </c>
      <c r="G70" s="26">
        <v>94</v>
      </c>
      <c r="H70" s="52">
        <v>21</v>
      </c>
      <c r="I70" s="26">
        <v>122</v>
      </c>
      <c r="J70" s="52">
        <v>19</v>
      </c>
      <c r="K70" s="26">
        <v>113</v>
      </c>
      <c r="L70" s="52">
        <v>9</v>
      </c>
      <c r="M70" s="26">
        <v>82</v>
      </c>
      <c r="N70" s="52">
        <v>1</v>
      </c>
      <c r="O70" s="26">
        <v>56</v>
      </c>
      <c r="P70" s="52">
        <v>4</v>
      </c>
      <c r="Q70" s="26">
        <v>52</v>
      </c>
      <c r="R70" s="52">
        <v>3</v>
      </c>
    </row>
    <row r="71" spans="1:18" ht="19.5" customHeight="1" thickBot="1" x14ac:dyDescent="0.2">
      <c r="A71" s="121"/>
      <c r="B71" s="105"/>
      <c r="C71" s="117"/>
      <c r="D71" s="119"/>
      <c r="E71" s="18"/>
      <c r="F71" s="58"/>
      <c r="G71" s="19"/>
      <c r="H71" s="53">
        <f t="shared" ref="H71" si="25">H70/G70</f>
        <v>0.22340425531914893</v>
      </c>
      <c r="I71" s="47">
        <f t="shared" ref="I71" si="26">I70/G70</f>
        <v>1.2978723404255319</v>
      </c>
      <c r="J71" s="53">
        <f t="shared" ref="J71" si="27">J70/I70</f>
        <v>0.15573770491803279</v>
      </c>
      <c r="K71" s="47">
        <f t="shared" ref="K71" si="28">K70/I70</f>
        <v>0.92622950819672134</v>
      </c>
      <c r="L71" s="53">
        <f t="shared" ref="L71" si="29">L70/K70</f>
        <v>7.9646017699115043E-2</v>
      </c>
      <c r="M71" s="47">
        <f t="shared" ref="M71" si="30">M70/K70</f>
        <v>0.72566371681415931</v>
      </c>
      <c r="N71" s="53">
        <f t="shared" ref="N71" si="31">N70/M70</f>
        <v>1.2195121951219513E-2</v>
      </c>
      <c r="O71" s="47">
        <f t="shared" ref="O71" si="32">O70/M70</f>
        <v>0.68292682926829273</v>
      </c>
      <c r="P71" s="53">
        <f t="shared" ref="P71" si="33">P70/O70</f>
        <v>7.1428571428571425E-2</v>
      </c>
      <c r="Q71" s="47">
        <f t="shared" ref="Q71" si="34">Q70/O70</f>
        <v>0.9285714285714286</v>
      </c>
      <c r="R71" s="63">
        <f>R70/Q70</f>
        <v>5.7692307692307696E-2</v>
      </c>
    </row>
    <row r="72" spans="1:18" ht="19.5" customHeight="1" x14ac:dyDescent="0.15">
      <c r="A72" s="121"/>
      <c r="B72" s="104" t="s">
        <v>350</v>
      </c>
      <c r="C72" s="117"/>
      <c r="D72" s="118" t="s">
        <v>38</v>
      </c>
      <c r="E72" s="35">
        <v>91</v>
      </c>
      <c r="F72" s="54">
        <v>37</v>
      </c>
      <c r="G72" s="26">
        <v>119</v>
      </c>
      <c r="H72" s="52">
        <v>32</v>
      </c>
      <c r="I72" s="26">
        <v>118</v>
      </c>
      <c r="J72" s="52">
        <v>24</v>
      </c>
      <c r="K72" s="26">
        <v>106</v>
      </c>
      <c r="L72" s="52">
        <v>14</v>
      </c>
      <c r="M72" s="26">
        <v>82</v>
      </c>
      <c r="N72" s="52">
        <v>7</v>
      </c>
      <c r="O72" s="26">
        <v>55</v>
      </c>
      <c r="P72" s="52">
        <v>3</v>
      </c>
      <c r="Q72" s="26">
        <v>50</v>
      </c>
      <c r="R72" s="52">
        <v>3</v>
      </c>
    </row>
    <row r="73" spans="1:18" ht="19.5" customHeight="1" thickBot="1" x14ac:dyDescent="0.2">
      <c r="A73" s="122"/>
      <c r="B73" s="105"/>
      <c r="C73" s="105"/>
      <c r="D73" s="119"/>
      <c r="E73" s="18"/>
      <c r="F73" s="58"/>
      <c r="G73" s="19"/>
      <c r="H73" s="53">
        <f t="shared" ref="H73" si="35">H72/G72</f>
        <v>0.26890756302521007</v>
      </c>
      <c r="I73" s="47">
        <f t="shared" ref="I73" si="36">I72/G72</f>
        <v>0.99159663865546221</v>
      </c>
      <c r="J73" s="53">
        <f t="shared" ref="J73" si="37">J72/I72</f>
        <v>0.20338983050847459</v>
      </c>
      <c r="K73" s="47">
        <f t="shared" ref="K73" si="38">K72/I72</f>
        <v>0.89830508474576276</v>
      </c>
      <c r="L73" s="53">
        <f t="shared" ref="L73" si="39">L72/K72</f>
        <v>0.13207547169811321</v>
      </c>
      <c r="M73" s="47">
        <f t="shared" ref="M73" si="40">M72/K72</f>
        <v>0.77358490566037741</v>
      </c>
      <c r="N73" s="53">
        <f t="shared" ref="N73" si="41">N72/M72</f>
        <v>8.5365853658536592E-2</v>
      </c>
      <c r="O73" s="47">
        <f t="shared" ref="O73" si="42">O72/M72</f>
        <v>0.67073170731707321</v>
      </c>
      <c r="P73" s="53">
        <f t="shared" ref="P73" si="43">P72/O72</f>
        <v>5.4545454545454543E-2</v>
      </c>
      <c r="Q73" s="47">
        <f t="shared" ref="Q73" si="44">Q72/O72</f>
        <v>0.90909090909090906</v>
      </c>
      <c r="R73" s="63">
        <f>R72/Q72</f>
        <v>0.06</v>
      </c>
    </row>
    <row r="74" spans="1:18" ht="19.5" customHeight="1" x14ac:dyDescent="0.15"/>
  </sheetData>
  <mergeCells count="118">
    <mergeCell ref="C34:C37"/>
    <mergeCell ref="C38:C41"/>
    <mergeCell ref="C44:C45"/>
    <mergeCell ref="C42:C43"/>
    <mergeCell ref="C46:C47"/>
    <mergeCell ref="A64:A73"/>
    <mergeCell ref="B64:B65"/>
    <mergeCell ref="D64:D65"/>
    <mergeCell ref="B66:B67"/>
    <mergeCell ref="D66:D67"/>
    <mergeCell ref="B68:B69"/>
    <mergeCell ref="D68:D69"/>
    <mergeCell ref="B70:B71"/>
    <mergeCell ref="D70:D71"/>
    <mergeCell ref="B72:B73"/>
    <mergeCell ref="D72:D73"/>
    <mergeCell ref="C70:C73"/>
    <mergeCell ref="C64:C67"/>
    <mergeCell ref="C68:C69"/>
    <mergeCell ref="A46:A53"/>
    <mergeCell ref="B58:B59"/>
    <mergeCell ref="B62:B63"/>
    <mergeCell ref="C62:C63"/>
    <mergeCell ref="D62:D63"/>
    <mergeCell ref="B54:B55"/>
    <mergeCell ref="B50:B51"/>
    <mergeCell ref="D50:D51"/>
    <mergeCell ref="D58:D59"/>
    <mergeCell ref="D54:D55"/>
    <mergeCell ref="B56:B57"/>
    <mergeCell ref="D56:D57"/>
    <mergeCell ref="A54:A63"/>
    <mergeCell ref="B60:B61"/>
    <mergeCell ref="D60:D61"/>
    <mergeCell ref="C54:C57"/>
    <mergeCell ref="C58:C61"/>
    <mergeCell ref="B52:B53"/>
    <mergeCell ref="C52:C53"/>
    <mergeCell ref="D52:D53"/>
    <mergeCell ref="B42:B43"/>
    <mergeCell ref="B44:B45"/>
    <mergeCell ref="D42:D43"/>
    <mergeCell ref="D44:D45"/>
    <mergeCell ref="B48:B49"/>
    <mergeCell ref="D48:D49"/>
    <mergeCell ref="C48:C49"/>
    <mergeCell ref="C50:C51"/>
    <mergeCell ref="B46:B47"/>
    <mergeCell ref="D46:D47"/>
    <mergeCell ref="D38:D39"/>
    <mergeCell ref="C32:C33"/>
    <mergeCell ref="O31:P31"/>
    <mergeCell ref="A26:A31"/>
    <mergeCell ref="C26:C27"/>
    <mergeCell ref="B30:B31"/>
    <mergeCell ref="D30:D31"/>
    <mergeCell ref="O27:P27"/>
    <mergeCell ref="B28:B29"/>
    <mergeCell ref="D28:D29"/>
    <mergeCell ref="O29:P29"/>
    <mergeCell ref="B26:B27"/>
    <mergeCell ref="D26:D27"/>
    <mergeCell ref="C28:C31"/>
    <mergeCell ref="B32:B33"/>
    <mergeCell ref="D32:D33"/>
    <mergeCell ref="A32:A45"/>
    <mergeCell ref="B34:B35"/>
    <mergeCell ref="D34:D35"/>
    <mergeCell ref="B36:B37"/>
    <mergeCell ref="D36:D37"/>
    <mergeCell ref="B40:B41"/>
    <mergeCell ref="D40:D41"/>
    <mergeCell ref="B38:B39"/>
    <mergeCell ref="O25:P25"/>
    <mergeCell ref="B24:B25"/>
    <mergeCell ref="D24:D25"/>
    <mergeCell ref="O21:P21"/>
    <mergeCell ref="B22:B23"/>
    <mergeCell ref="D22:D23"/>
    <mergeCell ref="O23:P23"/>
    <mergeCell ref="C18:C21"/>
    <mergeCell ref="C22:C25"/>
    <mergeCell ref="O19:P19"/>
    <mergeCell ref="A18:A25"/>
    <mergeCell ref="B18:B19"/>
    <mergeCell ref="D18:D19"/>
    <mergeCell ref="B20:B21"/>
    <mergeCell ref="D20:D21"/>
    <mergeCell ref="B14:B15"/>
    <mergeCell ref="D14:D15"/>
    <mergeCell ref="G15:H15"/>
    <mergeCell ref="B16:B17"/>
    <mergeCell ref="D16:D17"/>
    <mergeCell ref="G17:H17"/>
    <mergeCell ref="C14:C17"/>
    <mergeCell ref="A6:A17"/>
    <mergeCell ref="B10:B11"/>
    <mergeCell ref="D10:D11"/>
    <mergeCell ref="G11:H11"/>
    <mergeCell ref="B8:B9"/>
    <mergeCell ref="D8:D9"/>
    <mergeCell ref="E9:F9"/>
    <mergeCell ref="G9:H9"/>
    <mergeCell ref="B6:B7"/>
    <mergeCell ref="D6:D7"/>
    <mergeCell ref="G7:H7"/>
    <mergeCell ref="B12:B13"/>
    <mergeCell ref="C6:C9"/>
    <mergeCell ref="C10:C13"/>
    <mergeCell ref="D12:D13"/>
    <mergeCell ref="G13:H13"/>
    <mergeCell ref="Q3:R3"/>
    <mergeCell ref="E3:F3"/>
    <mergeCell ref="G3:H3"/>
    <mergeCell ref="I3:J3"/>
    <mergeCell ref="K3:L3"/>
    <mergeCell ref="M3:N3"/>
    <mergeCell ref="O3:P3"/>
  </mergeCells>
  <phoneticPr fontId="2"/>
  <conditionalFormatting sqref="G29 I29 K29 M29 M27 K27 I27 G27 G25 I25 K25 M25 M23 K23 I23 G23 G21 I21 K21 M21 M19 K19 I19 G19 K17 M17 O17 Q17 Q15 O15 M15 K15 K13 M13 O13 Q13 Q11 O11 M11 K11 K9 M9 O9 Q9 Q7 O7 M7 K7 I7 I11 I13 I15 I17 Q19 Q21 Q23 Q25 Q27 Q29 M31 K31 I31 G31 Q31">
    <cfRule type="cellIs" dxfId="99" priority="93" operator="lessThan">
      <formula>1</formula>
    </cfRule>
    <cfRule type="cellIs" dxfId="98" priority="94" operator="greaterThanOrEqual">
      <formula>1</formula>
    </cfRule>
  </conditionalFormatting>
  <conditionalFormatting sqref="G37 I37 K37 M37 M35 K35 I35 G35 Q35 Q37">
    <cfRule type="cellIs" dxfId="97" priority="91" operator="lessThan">
      <formula>1</formula>
    </cfRule>
    <cfRule type="cellIs" dxfId="96" priority="92" operator="greaterThanOrEqual">
      <formula>1</formula>
    </cfRule>
  </conditionalFormatting>
  <conditionalFormatting sqref="O35">
    <cfRule type="cellIs" dxfId="95" priority="89" operator="lessThan">
      <formula>1</formula>
    </cfRule>
    <cfRule type="cellIs" dxfId="94" priority="90" operator="greaterThanOrEqual">
      <formula>1</formula>
    </cfRule>
  </conditionalFormatting>
  <conditionalFormatting sqref="O37">
    <cfRule type="cellIs" dxfId="93" priority="87" operator="lessThan">
      <formula>1</formula>
    </cfRule>
    <cfRule type="cellIs" dxfId="92" priority="88" operator="greaterThanOrEqual">
      <formula>1</formula>
    </cfRule>
  </conditionalFormatting>
  <conditionalFormatting sqref="M39 K39 I39 G39 Q39">
    <cfRule type="cellIs" dxfId="91" priority="85" operator="lessThan">
      <formula>1</formula>
    </cfRule>
    <cfRule type="cellIs" dxfId="90" priority="86" operator="greaterThanOrEqual">
      <formula>1</formula>
    </cfRule>
  </conditionalFormatting>
  <conditionalFormatting sqref="O39">
    <cfRule type="cellIs" dxfId="89" priority="83" operator="lessThan">
      <formula>1</formula>
    </cfRule>
    <cfRule type="cellIs" dxfId="88" priority="84" operator="greaterThanOrEqual">
      <formula>1</formula>
    </cfRule>
  </conditionalFormatting>
  <conditionalFormatting sqref="M41 K41 I41 G41 Q41">
    <cfRule type="cellIs" dxfId="87" priority="81" operator="lessThan">
      <formula>1</formula>
    </cfRule>
    <cfRule type="cellIs" dxfId="86" priority="82" operator="greaterThanOrEqual">
      <formula>1</formula>
    </cfRule>
  </conditionalFormatting>
  <conditionalFormatting sqref="O41">
    <cfRule type="cellIs" dxfId="85" priority="79" operator="lessThan">
      <formula>1</formula>
    </cfRule>
    <cfRule type="cellIs" dxfId="84" priority="80" operator="greaterThanOrEqual">
      <formula>1</formula>
    </cfRule>
  </conditionalFormatting>
  <conditionalFormatting sqref="G45 I45 K45 M45 O45 Q45 Q43 O43 M43 K43 I43 G43">
    <cfRule type="cellIs" dxfId="83" priority="77" operator="lessThan">
      <formula>1</formula>
    </cfRule>
    <cfRule type="cellIs" dxfId="82" priority="78" operator="greaterThanOrEqual">
      <formula>1</formula>
    </cfRule>
  </conditionalFormatting>
  <conditionalFormatting sqref="O33">
    <cfRule type="cellIs" dxfId="81" priority="69" operator="lessThan">
      <formula>1</formula>
    </cfRule>
    <cfRule type="cellIs" dxfId="80" priority="70" operator="greaterThanOrEqual">
      <formula>1</formula>
    </cfRule>
  </conditionalFormatting>
  <conditionalFormatting sqref="M33 K33 I33 G33 Q33">
    <cfRule type="cellIs" dxfId="79" priority="71" operator="lessThan">
      <formula>1</formula>
    </cfRule>
    <cfRule type="cellIs" dxfId="78" priority="72" operator="greaterThanOrEqual">
      <formula>1</formula>
    </cfRule>
  </conditionalFormatting>
  <conditionalFormatting sqref="M53 K53 I53 G53 Q53">
    <cfRule type="cellIs" dxfId="77" priority="67" operator="lessThan">
      <formula>1</formula>
    </cfRule>
    <cfRule type="cellIs" dxfId="76" priority="68" operator="greaterThanOrEqual">
      <formula>1</formula>
    </cfRule>
  </conditionalFormatting>
  <conditionalFormatting sqref="O53">
    <cfRule type="cellIs" dxfId="75" priority="65" operator="lessThan">
      <formula>1</formula>
    </cfRule>
    <cfRule type="cellIs" dxfId="74" priority="66" operator="greaterThanOrEqual">
      <formula>1</formula>
    </cfRule>
  </conditionalFormatting>
  <conditionalFormatting sqref="O51">
    <cfRule type="cellIs" dxfId="73" priority="49" operator="lessThan">
      <formula>1</formula>
    </cfRule>
    <cfRule type="cellIs" dxfId="72" priority="50" operator="greaterThanOrEqual">
      <formula>1</formula>
    </cfRule>
  </conditionalFormatting>
  <conditionalFormatting sqref="M51 K51 I51 G51 Q51">
    <cfRule type="cellIs" dxfId="71" priority="51" operator="lessThan">
      <formula>1</formula>
    </cfRule>
    <cfRule type="cellIs" dxfId="70" priority="52" operator="greaterThanOrEqual">
      <formula>1</formula>
    </cfRule>
  </conditionalFormatting>
  <conditionalFormatting sqref="I47 K47 M47 O47 Q47">
    <cfRule type="cellIs" dxfId="69" priority="47" operator="lessThan">
      <formula>1</formula>
    </cfRule>
    <cfRule type="cellIs" dxfId="68" priority="48" operator="greaterThanOrEqual">
      <formula>1</formula>
    </cfRule>
  </conditionalFormatting>
  <conditionalFormatting sqref="M49 K49 I49 G49 Q49">
    <cfRule type="cellIs" dxfId="67" priority="45" operator="lessThan">
      <formula>1</formula>
    </cfRule>
    <cfRule type="cellIs" dxfId="66" priority="46" operator="greaterThanOrEqual">
      <formula>1</formula>
    </cfRule>
  </conditionalFormatting>
  <conditionalFormatting sqref="O49">
    <cfRule type="cellIs" dxfId="65" priority="43" operator="lessThan">
      <formula>1</formula>
    </cfRule>
    <cfRule type="cellIs" dxfId="64" priority="44" operator="greaterThanOrEqual">
      <formula>1</formula>
    </cfRule>
  </conditionalFormatting>
  <conditionalFormatting sqref="M63 K63 I63">
    <cfRule type="cellIs" dxfId="63" priority="37" operator="lessThan">
      <formula>1</formula>
    </cfRule>
    <cfRule type="cellIs" dxfId="62" priority="38" operator="greaterThanOrEqual">
      <formula>1</formula>
    </cfRule>
  </conditionalFormatting>
  <conditionalFormatting sqref="O63">
    <cfRule type="cellIs" dxfId="61" priority="35" operator="lessThan">
      <formula>1</formula>
    </cfRule>
    <cfRule type="cellIs" dxfId="60" priority="36" operator="greaterThanOrEqual">
      <formula>1</formula>
    </cfRule>
  </conditionalFormatting>
  <conditionalFormatting sqref="Q59">
    <cfRule type="cellIs" dxfId="59" priority="29" operator="lessThan">
      <formula>1</formula>
    </cfRule>
    <cfRule type="cellIs" dxfId="58" priority="30" operator="greaterThanOrEqual">
      <formula>1</formula>
    </cfRule>
  </conditionalFormatting>
  <conditionalFormatting sqref="M61 K61 Q61">
    <cfRule type="cellIs" dxfId="57" priority="27" operator="lessThan">
      <formula>1</formula>
    </cfRule>
    <cfRule type="cellIs" dxfId="56" priority="28" operator="greaterThanOrEqual">
      <formula>1</formula>
    </cfRule>
  </conditionalFormatting>
  <conditionalFormatting sqref="O61">
    <cfRule type="cellIs" dxfId="55" priority="25" operator="lessThan">
      <formula>1</formula>
    </cfRule>
    <cfRule type="cellIs" dxfId="54" priority="26" operator="greaterThanOrEqual">
      <formula>1</formula>
    </cfRule>
  </conditionalFormatting>
  <conditionalFormatting sqref="Q57">
    <cfRule type="cellIs" dxfId="53" priority="23" operator="lessThan">
      <formula>1</formula>
    </cfRule>
    <cfRule type="cellIs" dxfId="52" priority="24" operator="greaterThanOrEqual">
      <formula>1</formula>
    </cfRule>
  </conditionalFormatting>
  <conditionalFormatting sqref="O55">
    <cfRule type="cellIs" dxfId="51" priority="19" operator="lessThan">
      <formula>1</formula>
    </cfRule>
    <cfRule type="cellIs" dxfId="50" priority="20" operator="greaterThanOrEqual">
      <formula>1</formula>
    </cfRule>
  </conditionalFormatting>
  <conditionalFormatting sqref="M55 Q55">
    <cfRule type="cellIs" dxfId="49" priority="21" operator="lessThan">
      <formula>1</formula>
    </cfRule>
    <cfRule type="cellIs" dxfId="48" priority="22" operator="greaterThanOrEqual">
      <formula>1</formula>
    </cfRule>
  </conditionalFormatting>
  <conditionalFormatting sqref="I65 I69 I71 I73 K65 K69 K71 K73 M65 M67 M69 M71 M73 O65 O67 O69 O71 O73 Q65 Q67 Q69 Q71 Q73">
    <cfRule type="cellIs" dxfId="47" priority="1" operator="lessThan">
      <formula>1</formula>
    </cfRule>
    <cfRule type="cellIs" dxfId="46" priority="2" operator="greaterThanOrEqual">
      <formula>1</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3D39-89C0-409F-832C-1F62C13D6DE5}">
  <dimension ref="A2:R90"/>
  <sheetViews>
    <sheetView showGridLines="0" zoomScale="80" zoomScaleNormal="80" workbookViewId="0">
      <selection activeCell="R20" sqref="R20"/>
    </sheetView>
  </sheetViews>
  <sheetFormatPr defaultRowHeight="18.75" x14ac:dyDescent="0.15"/>
  <cols>
    <col min="1" max="1" width="23.125" style="1" bestFit="1" customWidth="1"/>
    <col min="2" max="2" width="26.5" style="2" bestFit="1" customWidth="1"/>
    <col min="3" max="3" width="8.625" style="2" customWidth="1"/>
    <col min="4" max="5" width="7.5" style="1" bestFit="1" customWidth="1"/>
    <col min="6" max="6" width="9.625" style="1" bestFit="1" customWidth="1"/>
    <col min="7" max="7" width="7.625" style="1" bestFit="1" customWidth="1"/>
    <col min="8" max="8" width="9.625" style="1" customWidth="1"/>
    <col min="9" max="9" width="7.625" style="1" bestFit="1" customWidth="1"/>
    <col min="10" max="10" width="9.625" style="1" customWidth="1"/>
    <col min="11" max="11" width="7.625" style="1" bestFit="1" customWidth="1"/>
    <col min="12" max="12" width="9.625" style="1" customWidth="1"/>
    <col min="13" max="13" width="7.625" style="1" bestFit="1" customWidth="1"/>
    <col min="14" max="14" width="9.625" style="1" customWidth="1"/>
    <col min="15" max="15" width="7.625" style="1" bestFit="1" customWidth="1"/>
    <col min="16" max="16" width="9.625" style="1" customWidth="1"/>
    <col min="17" max="17" width="7.625" style="1" bestFit="1" customWidth="1"/>
    <col min="18" max="18" width="47.375" style="1" customWidth="1"/>
    <col min="19"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x14ac:dyDescent="0.15">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22.5" x14ac:dyDescent="0.15">
      <c r="A6" s="139" t="s">
        <v>0</v>
      </c>
      <c r="B6" s="141" t="s">
        <v>46</v>
      </c>
      <c r="C6" s="142" t="s">
        <v>21</v>
      </c>
      <c r="D6" s="25">
        <v>309</v>
      </c>
      <c r="E6" s="50">
        <v>13</v>
      </c>
      <c r="F6" s="25">
        <v>334</v>
      </c>
      <c r="G6" s="50">
        <v>6</v>
      </c>
      <c r="H6" s="25">
        <v>385</v>
      </c>
      <c r="I6" s="50">
        <v>5</v>
      </c>
      <c r="J6" s="25">
        <v>366</v>
      </c>
      <c r="K6" s="50">
        <v>4</v>
      </c>
      <c r="L6" s="25">
        <v>355</v>
      </c>
      <c r="M6" s="50">
        <v>5</v>
      </c>
      <c r="N6" s="25">
        <v>331</v>
      </c>
      <c r="O6" s="50">
        <v>8</v>
      </c>
      <c r="P6" s="25">
        <v>283</v>
      </c>
      <c r="Q6" s="50">
        <v>7</v>
      </c>
    </row>
    <row r="7" spans="1:17" ht="19.5" thickBot="1" x14ac:dyDescent="0.2">
      <c r="A7" s="131"/>
      <c r="B7" s="112"/>
      <c r="C7" s="143"/>
      <c r="D7" s="24"/>
      <c r="E7" s="51">
        <f>E6/D6</f>
        <v>4.2071197411003236E-2</v>
      </c>
      <c r="F7" s="16">
        <f>F6/D6</f>
        <v>1.080906148867314</v>
      </c>
      <c r="G7" s="57">
        <f>G6/F6</f>
        <v>1.7964071856287425E-2</v>
      </c>
      <c r="H7" s="16">
        <f>H6/F6</f>
        <v>1.152694610778443</v>
      </c>
      <c r="I7" s="57">
        <f>I6/H6</f>
        <v>1.2987012987012988E-2</v>
      </c>
      <c r="J7" s="16">
        <f>J6/H6</f>
        <v>0.95064935064935063</v>
      </c>
      <c r="K7" s="57">
        <f>K6/J6</f>
        <v>1.092896174863388E-2</v>
      </c>
      <c r="L7" s="16">
        <f>L6/J6</f>
        <v>0.9699453551912568</v>
      </c>
      <c r="M7" s="57">
        <f>M6/L6</f>
        <v>1.4084507042253521E-2</v>
      </c>
      <c r="N7" s="16">
        <f>N6/L6</f>
        <v>0.93239436619718308</v>
      </c>
      <c r="O7" s="57">
        <f>O6/N6</f>
        <v>2.4169184290030211E-2</v>
      </c>
      <c r="P7" s="16">
        <f>P6/N6</f>
        <v>0.85498489425981872</v>
      </c>
      <c r="Q7" s="57">
        <f>Q6/P6</f>
        <v>2.4734982332155476E-2</v>
      </c>
    </row>
    <row r="8" spans="1:17" ht="22.5" x14ac:dyDescent="0.15">
      <c r="A8" s="131"/>
      <c r="B8" s="141" t="s">
        <v>145</v>
      </c>
      <c r="C8" s="142" t="s">
        <v>21</v>
      </c>
      <c r="D8" s="25">
        <v>198</v>
      </c>
      <c r="E8" s="50">
        <v>8</v>
      </c>
      <c r="F8" s="25">
        <v>183</v>
      </c>
      <c r="G8" s="50">
        <v>13</v>
      </c>
      <c r="H8" s="25">
        <v>179</v>
      </c>
      <c r="I8" s="50">
        <v>9</v>
      </c>
      <c r="J8" s="25">
        <v>180</v>
      </c>
      <c r="K8" s="50">
        <v>4</v>
      </c>
      <c r="L8" s="25">
        <v>168</v>
      </c>
      <c r="M8" s="50">
        <v>5</v>
      </c>
      <c r="N8" s="25">
        <v>166</v>
      </c>
      <c r="O8" s="50">
        <v>8</v>
      </c>
      <c r="P8" s="25">
        <v>170</v>
      </c>
      <c r="Q8" s="50">
        <v>11</v>
      </c>
    </row>
    <row r="9" spans="1:17" ht="19.5" thickBot="1" x14ac:dyDescent="0.2">
      <c r="A9" s="140"/>
      <c r="B9" s="112"/>
      <c r="C9" s="143"/>
      <c r="D9" s="24"/>
      <c r="E9" s="51">
        <f>E8/D8</f>
        <v>4.0404040404040407E-2</v>
      </c>
      <c r="F9" s="16">
        <f>F8/D8</f>
        <v>0.9242424242424242</v>
      </c>
      <c r="G9" s="57">
        <f>G8/F8</f>
        <v>7.1038251366120214E-2</v>
      </c>
      <c r="H9" s="16">
        <f>H8/F8</f>
        <v>0.97814207650273222</v>
      </c>
      <c r="I9" s="57">
        <f>I8/H8</f>
        <v>5.027932960893855E-2</v>
      </c>
      <c r="J9" s="16">
        <f>J8/H8</f>
        <v>1.005586592178771</v>
      </c>
      <c r="K9" s="57">
        <f>K8/J8</f>
        <v>2.2222222222222223E-2</v>
      </c>
      <c r="L9" s="16">
        <f>L8/J8</f>
        <v>0.93333333333333335</v>
      </c>
      <c r="M9" s="57">
        <f>M8/L8</f>
        <v>2.976190476190476E-2</v>
      </c>
      <c r="N9" s="16">
        <f>N8/L8</f>
        <v>0.98809523809523814</v>
      </c>
      <c r="O9" s="57">
        <f>O8/N8</f>
        <v>4.8192771084337352E-2</v>
      </c>
      <c r="P9" s="16">
        <f>P8/N8</f>
        <v>1.0240963855421688</v>
      </c>
      <c r="Q9" s="57">
        <f>Q8/P8</f>
        <v>6.4705882352941183E-2</v>
      </c>
    </row>
    <row r="10" spans="1:17" ht="22.5" x14ac:dyDescent="0.15">
      <c r="A10" s="131" t="s">
        <v>1</v>
      </c>
      <c r="B10" s="132" t="s">
        <v>46</v>
      </c>
      <c r="C10" s="134" t="s">
        <v>21</v>
      </c>
      <c r="D10" s="71">
        <v>221</v>
      </c>
      <c r="E10" s="72">
        <v>6</v>
      </c>
      <c r="F10" s="71">
        <v>230</v>
      </c>
      <c r="G10" s="72">
        <v>7</v>
      </c>
      <c r="H10" s="71">
        <v>240</v>
      </c>
      <c r="I10" s="72">
        <v>6</v>
      </c>
      <c r="J10" s="71">
        <v>262</v>
      </c>
      <c r="K10" s="72">
        <v>4</v>
      </c>
      <c r="L10" s="71">
        <v>231</v>
      </c>
      <c r="M10" s="72">
        <v>1</v>
      </c>
      <c r="N10" s="71">
        <v>191</v>
      </c>
      <c r="O10" s="72">
        <v>0</v>
      </c>
      <c r="P10" s="71">
        <v>184</v>
      </c>
      <c r="Q10" s="72">
        <v>1</v>
      </c>
    </row>
    <row r="11" spans="1:17" ht="19.5" thickBot="1" x14ac:dyDescent="0.2">
      <c r="A11" s="131"/>
      <c r="B11" s="133"/>
      <c r="C11" s="134"/>
      <c r="D11" s="73"/>
      <c r="E11" s="74">
        <f>E10/D10</f>
        <v>2.7149321266968326E-2</v>
      </c>
      <c r="F11" s="75">
        <f>F10/D10</f>
        <v>1.0407239819004526</v>
      </c>
      <c r="G11" s="76">
        <f>G10/F10</f>
        <v>3.0434782608695653E-2</v>
      </c>
      <c r="H11" s="75">
        <f>H10/F10</f>
        <v>1.0434782608695652</v>
      </c>
      <c r="I11" s="76">
        <f>I10/H10</f>
        <v>2.5000000000000001E-2</v>
      </c>
      <c r="J11" s="75">
        <f>J10/H10</f>
        <v>1.0916666666666666</v>
      </c>
      <c r="K11" s="76">
        <f>K10/J10</f>
        <v>1.5267175572519083E-2</v>
      </c>
      <c r="L11" s="75">
        <f>L10/J10</f>
        <v>0.88167938931297707</v>
      </c>
      <c r="M11" s="76">
        <f>M10/L10</f>
        <v>4.329004329004329E-3</v>
      </c>
      <c r="N11" s="75">
        <f>N10/L10</f>
        <v>0.82683982683982682</v>
      </c>
      <c r="O11" s="76">
        <f>O10/N10</f>
        <v>0</v>
      </c>
      <c r="P11" s="75">
        <f>P10/N10</f>
        <v>0.96335078534031415</v>
      </c>
      <c r="Q11" s="76">
        <f>Q10/P10</f>
        <v>5.434782608695652E-3</v>
      </c>
    </row>
    <row r="12" spans="1:17" ht="18.75" customHeight="1" x14ac:dyDescent="0.15">
      <c r="A12" s="104" t="s">
        <v>147</v>
      </c>
      <c r="B12" s="104" t="s">
        <v>46</v>
      </c>
      <c r="C12" s="118" t="s">
        <v>21</v>
      </c>
      <c r="D12" s="23"/>
      <c r="E12" s="7"/>
      <c r="F12" s="26">
        <v>256</v>
      </c>
      <c r="G12" s="52">
        <v>23</v>
      </c>
      <c r="H12" s="26">
        <v>270</v>
      </c>
      <c r="I12" s="52">
        <v>13</v>
      </c>
      <c r="J12" s="26">
        <v>270</v>
      </c>
      <c r="K12" s="52">
        <v>11</v>
      </c>
      <c r="L12" s="27">
        <v>269</v>
      </c>
      <c r="M12" s="52">
        <v>19</v>
      </c>
      <c r="N12" s="26">
        <v>235</v>
      </c>
      <c r="O12" s="52">
        <v>12</v>
      </c>
      <c r="P12" s="26">
        <v>187</v>
      </c>
      <c r="Q12" s="52">
        <v>9</v>
      </c>
    </row>
    <row r="13" spans="1:17" ht="19.5" thickBot="1" x14ac:dyDescent="0.2">
      <c r="A13" s="117"/>
      <c r="B13" s="105"/>
      <c r="C13" s="119"/>
      <c r="D13" s="100"/>
      <c r="E13" s="97"/>
      <c r="F13" s="20"/>
      <c r="G13" s="53">
        <v>8.984375E-2</v>
      </c>
      <c r="H13" s="47">
        <f>H12/F12</f>
        <v>1.0546875</v>
      </c>
      <c r="I13" s="53">
        <v>4.8148148148148148E-2</v>
      </c>
      <c r="J13" s="47">
        <f>J12/H12</f>
        <v>1</v>
      </c>
      <c r="K13" s="53">
        <v>4.0740740740740744E-2</v>
      </c>
      <c r="L13" s="47">
        <f>L12/J12</f>
        <v>0.99629629629629635</v>
      </c>
      <c r="M13" s="53">
        <v>7.0631970260223054E-2</v>
      </c>
      <c r="N13" s="47">
        <f>N12/L12</f>
        <v>0.87360594795539037</v>
      </c>
      <c r="O13" s="53">
        <v>5.106382978723404E-2</v>
      </c>
      <c r="P13" s="47">
        <f>P12/N12</f>
        <v>0.79574468085106387</v>
      </c>
      <c r="Q13" s="53">
        <f>Q12/P12</f>
        <v>4.8128342245989303E-2</v>
      </c>
    </row>
    <row r="14" spans="1:17" ht="18.75" customHeight="1" x14ac:dyDescent="0.15">
      <c r="A14" s="117"/>
      <c r="B14" s="104" t="s">
        <v>47</v>
      </c>
      <c r="C14" s="118" t="s">
        <v>21</v>
      </c>
      <c r="D14" s="23"/>
      <c r="E14" s="7"/>
      <c r="F14" s="26">
        <v>145</v>
      </c>
      <c r="G14" s="59">
        <v>15</v>
      </c>
      <c r="H14" s="27">
        <v>159</v>
      </c>
      <c r="I14" s="59">
        <v>11</v>
      </c>
      <c r="J14" s="27">
        <v>166</v>
      </c>
      <c r="K14" s="59">
        <v>11</v>
      </c>
      <c r="L14" s="27">
        <v>146</v>
      </c>
      <c r="M14" s="59">
        <v>12</v>
      </c>
      <c r="N14" s="27">
        <v>115</v>
      </c>
      <c r="O14" s="59">
        <v>9</v>
      </c>
      <c r="P14" s="27">
        <v>78</v>
      </c>
      <c r="Q14" s="59">
        <v>8</v>
      </c>
    </row>
    <row r="15" spans="1:17" ht="19.5" thickBot="1" x14ac:dyDescent="0.2">
      <c r="A15" s="117"/>
      <c r="B15" s="105"/>
      <c r="C15" s="119"/>
      <c r="D15" s="100"/>
      <c r="E15" s="97"/>
      <c r="F15" s="20"/>
      <c r="G15" s="53">
        <v>0.10344827586206896</v>
      </c>
      <c r="H15" s="47">
        <f>H14/F14</f>
        <v>1.096551724137931</v>
      </c>
      <c r="I15" s="53">
        <v>6.9182389937106917E-2</v>
      </c>
      <c r="J15" s="47">
        <f>J14/H14</f>
        <v>1.0440251572327044</v>
      </c>
      <c r="K15" s="53">
        <v>6.6265060240963861E-2</v>
      </c>
      <c r="L15" s="47">
        <f>L14/J14</f>
        <v>0.87951807228915657</v>
      </c>
      <c r="M15" s="53">
        <v>8.2191780821917804E-2</v>
      </c>
      <c r="N15" s="47">
        <f>N14/L14</f>
        <v>0.78767123287671237</v>
      </c>
      <c r="O15" s="53">
        <v>7.8260869565217397E-2</v>
      </c>
      <c r="P15" s="47">
        <f>P14/N14</f>
        <v>0.67826086956521736</v>
      </c>
      <c r="Q15" s="53">
        <f>Q14/P14</f>
        <v>0.10256410256410256</v>
      </c>
    </row>
    <row r="16" spans="1:17" ht="18.75" customHeight="1" x14ac:dyDescent="0.15">
      <c r="A16" s="117"/>
      <c r="B16" s="104" t="s">
        <v>48</v>
      </c>
      <c r="C16" s="118" t="s">
        <v>21</v>
      </c>
      <c r="D16" s="23"/>
      <c r="E16" s="7"/>
      <c r="F16" s="26">
        <v>86</v>
      </c>
      <c r="G16" s="59">
        <v>10</v>
      </c>
      <c r="H16" s="27">
        <v>70</v>
      </c>
      <c r="I16" s="59">
        <v>5</v>
      </c>
      <c r="J16" s="27">
        <v>77</v>
      </c>
      <c r="K16" s="59">
        <v>5</v>
      </c>
      <c r="L16" s="27">
        <v>86</v>
      </c>
      <c r="M16" s="59">
        <v>5</v>
      </c>
      <c r="N16" s="27">
        <v>79</v>
      </c>
      <c r="O16" s="59">
        <v>6</v>
      </c>
      <c r="P16" s="27">
        <v>58</v>
      </c>
      <c r="Q16" s="59">
        <v>10</v>
      </c>
    </row>
    <row r="17" spans="1:18" ht="19.5" thickBot="1" x14ac:dyDescent="0.2">
      <c r="A17" s="117"/>
      <c r="B17" s="105"/>
      <c r="C17" s="119"/>
      <c r="D17" s="100"/>
      <c r="E17" s="97"/>
      <c r="F17" s="20"/>
      <c r="G17" s="53">
        <v>0.11627906976744186</v>
      </c>
      <c r="H17" s="47">
        <f>H16/F16</f>
        <v>0.81395348837209303</v>
      </c>
      <c r="I17" s="53">
        <v>7.1428571428571425E-2</v>
      </c>
      <c r="J17" s="47">
        <f>J16/H16</f>
        <v>1.1000000000000001</v>
      </c>
      <c r="K17" s="53">
        <v>6.4935064935064929E-2</v>
      </c>
      <c r="L17" s="47">
        <f>L16/J16</f>
        <v>1.1168831168831168</v>
      </c>
      <c r="M17" s="53">
        <v>5.8139534883720929E-2</v>
      </c>
      <c r="N17" s="47">
        <f>N16/L16</f>
        <v>0.91860465116279066</v>
      </c>
      <c r="O17" s="53">
        <v>7.5949367088607597E-2</v>
      </c>
      <c r="P17" s="47">
        <f>P16/N16</f>
        <v>0.73417721518987344</v>
      </c>
      <c r="Q17" s="53">
        <f>Q16/P16</f>
        <v>0.17241379310344829</v>
      </c>
    </row>
    <row r="18" spans="1:18" ht="18.75" customHeight="1" x14ac:dyDescent="0.15">
      <c r="A18" s="117"/>
      <c r="B18" s="98" t="s">
        <v>49</v>
      </c>
      <c r="C18" s="118" t="s">
        <v>21</v>
      </c>
      <c r="D18" s="23"/>
      <c r="E18" s="7"/>
      <c r="F18" s="26">
        <v>197</v>
      </c>
      <c r="G18" s="59">
        <v>24</v>
      </c>
      <c r="H18" s="27">
        <v>180</v>
      </c>
      <c r="I18" s="59">
        <v>15</v>
      </c>
      <c r="J18" s="27">
        <v>152</v>
      </c>
      <c r="K18" s="59">
        <v>8</v>
      </c>
      <c r="L18" s="27">
        <v>145</v>
      </c>
      <c r="M18" s="59">
        <v>11</v>
      </c>
      <c r="N18" s="27">
        <v>165</v>
      </c>
      <c r="O18" s="59">
        <v>20</v>
      </c>
      <c r="P18" s="27">
        <v>179</v>
      </c>
      <c r="Q18" s="59">
        <v>23</v>
      </c>
    </row>
    <row r="19" spans="1:18" ht="19.5" thickBot="1" x14ac:dyDescent="0.2">
      <c r="A19" s="117"/>
      <c r="B19" s="99"/>
      <c r="C19" s="119"/>
      <c r="D19" s="100"/>
      <c r="E19" s="97"/>
      <c r="F19" s="20"/>
      <c r="G19" s="53">
        <v>0.12182741116751269</v>
      </c>
      <c r="H19" s="47">
        <f>H18/F18</f>
        <v>0.91370558375634514</v>
      </c>
      <c r="I19" s="53">
        <v>8.3333333333333329E-2</v>
      </c>
      <c r="J19" s="47">
        <f>J18/H18</f>
        <v>0.84444444444444444</v>
      </c>
      <c r="K19" s="53">
        <v>5.2631578947368418E-2</v>
      </c>
      <c r="L19" s="47">
        <f>L18/J18</f>
        <v>0.95394736842105265</v>
      </c>
      <c r="M19" s="53">
        <v>7.586206896551724E-2</v>
      </c>
      <c r="N19" s="47">
        <f>N18/L18</f>
        <v>1.1379310344827587</v>
      </c>
      <c r="O19" s="53">
        <v>0.12121212121212122</v>
      </c>
      <c r="P19" s="47">
        <f>P18/N18</f>
        <v>1.084848484848485</v>
      </c>
      <c r="Q19" s="53">
        <f>Q18/P18</f>
        <v>0.12849162011173185</v>
      </c>
    </row>
    <row r="20" spans="1:18" ht="18.75" customHeight="1" x14ac:dyDescent="0.15">
      <c r="A20" s="117"/>
      <c r="B20" s="98" t="s">
        <v>50</v>
      </c>
      <c r="C20" s="118" t="s">
        <v>21</v>
      </c>
      <c r="D20" s="23"/>
      <c r="E20" s="7"/>
      <c r="F20" s="26">
        <v>136</v>
      </c>
      <c r="G20" s="59">
        <v>5</v>
      </c>
      <c r="H20" s="27">
        <v>117</v>
      </c>
      <c r="I20" s="59">
        <v>1</v>
      </c>
      <c r="J20" s="27">
        <v>95</v>
      </c>
      <c r="K20" s="59">
        <v>2</v>
      </c>
      <c r="L20" s="27">
        <v>91</v>
      </c>
      <c r="M20" s="59">
        <v>3</v>
      </c>
      <c r="N20" s="27">
        <v>116</v>
      </c>
      <c r="O20" s="59">
        <v>12</v>
      </c>
      <c r="P20" s="27">
        <v>107</v>
      </c>
      <c r="Q20" s="59">
        <v>18</v>
      </c>
    </row>
    <row r="21" spans="1:18" ht="19.5" thickBot="1" x14ac:dyDescent="0.2">
      <c r="A21" s="105"/>
      <c r="B21" s="99"/>
      <c r="C21" s="119"/>
      <c r="D21" s="100"/>
      <c r="E21" s="97"/>
      <c r="F21" s="20"/>
      <c r="G21" s="53">
        <v>3.6764705882352942E-2</v>
      </c>
      <c r="H21" s="47">
        <f>H20/F20</f>
        <v>0.86029411764705888</v>
      </c>
      <c r="I21" s="53">
        <v>8.5470085470085479E-3</v>
      </c>
      <c r="J21" s="47">
        <f>J20/H20</f>
        <v>0.81196581196581197</v>
      </c>
      <c r="K21" s="53">
        <v>2.1052631578947368E-2</v>
      </c>
      <c r="L21" s="47">
        <f>L20/J20</f>
        <v>0.95789473684210524</v>
      </c>
      <c r="M21" s="53">
        <v>3.2967032967032968E-2</v>
      </c>
      <c r="N21" s="47">
        <f>N20/L20</f>
        <v>1.2747252747252746</v>
      </c>
      <c r="O21" s="53">
        <v>0.10344827586206896</v>
      </c>
      <c r="P21" s="47">
        <f>P20/N20</f>
        <v>0.92241379310344829</v>
      </c>
      <c r="Q21" s="53">
        <f>Q20/P20</f>
        <v>0.16822429906542055</v>
      </c>
    </row>
    <row r="22" spans="1:18" ht="18.75" customHeight="1" x14ac:dyDescent="0.15">
      <c r="A22" s="121" t="s">
        <v>184</v>
      </c>
      <c r="B22" s="117" t="s">
        <v>187</v>
      </c>
      <c r="C22" s="135" t="s">
        <v>21</v>
      </c>
      <c r="D22" s="40"/>
      <c r="E22" s="67"/>
      <c r="F22" s="29">
        <v>185</v>
      </c>
      <c r="G22" s="69">
        <v>55</v>
      </c>
      <c r="H22" s="41">
        <v>174</v>
      </c>
      <c r="I22" s="69">
        <v>45</v>
      </c>
      <c r="J22" s="41">
        <v>168</v>
      </c>
      <c r="K22" s="69">
        <v>25</v>
      </c>
      <c r="L22" s="41">
        <v>165</v>
      </c>
      <c r="M22" s="69">
        <v>34</v>
      </c>
      <c r="N22" s="41">
        <v>146</v>
      </c>
      <c r="O22" s="69">
        <v>47</v>
      </c>
      <c r="P22" s="41">
        <v>124</v>
      </c>
      <c r="Q22" s="69">
        <v>46</v>
      </c>
    </row>
    <row r="23" spans="1:18" ht="19.5" thickBot="1" x14ac:dyDescent="0.2">
      <c r="A23" s="121"/>
      <c r="B23" s="105"/>
      <c r="C23" s="119"/>
      <c r="D23" s="100"/>
      <c r="E23" s="97"/>
      <c r="F23" s="20"/>
      <c r="G23" s="53">
        <v>0.29729729729729731</v>
      </c>
      <c r="H23" s="47">
        <f>H22/F22</f>
        <v>0.94054054054054059</v>
      </c>
      <c r="I23" s="53">
        <v>0.25862068965517243</v>
      </c>
      <c r="J23" s="47">
        <f>J22/H22</f>
        <v>0.96551724137931039</v>
      </c>
      <c r="K23" s="53">
        <v>0.14880952380952381</v>
      </c>
      <c r="L23" s="47">
        <f>L22/J22</f>
        <v>0.9821428571428571</v>
      </c>
      <c r="M23" s="53">
        <v>0.20606060606060606</v>
      </c>
      <c r="N23" s="47">
        <f>N22/L22</f>
        <v>0.88484848484848488</v>
      </c>
      <c r="O23" s="53">
        <v>0.32191780821917809</v>
      </c>
      <c r="P23" s="47">
        <f>P22/N22</f>
        <v>0.84931506849315064</v>
      </c>
      <c r="Q23" s="53">
        <f>Q22/P22</f>
        <v>0.37096774193548387</v>
      </c>
    </row>
    <row r="24" spans="1:18" ht="18.75" customHeight="1" x14ac:dyDescent="0.15">
      <c r="A24" s="121"/>
      <c r="B24" s="104" t="s">
        <v>186</v>
      </c>
      <c r="C24" s="118" t="s">
        <v>21</v>
      </c>
      <c r="D24" s="23"/>
      <c r="E24" s="7"/>
      <c r="F24" s="26">
        <v>102</v>
      </c>
      <c r="G24" s="59">
        <v>15</v>
      </c>
      <c r="H24" s="27">
        <v>94</v>
      </c>
      <c r="I24" s="59">
        <v>15</v>
      </c>
      <c r="J24" s="27">
        <v>87</v>
      </c>
      <c r="K24" s="59">
        <v>13</v>
      </c>
      <c r="L24" s="27">
        <v>71</v>
      </c>
      <c r="M24" s="59">
        <v>10</v>
      </c>
      <c r="N24" s="27">
        <v>66</v>
      </c>
      <c r="O24" s="59">
        <v>12</v>
      </c>
      <c r="P24" s="27">
        <v>59</v>
      </c>
      <c r="Q24" s="59">
        <v>19</v>
      </c>
    </row>
    <row r="25" spans="1:18" ht="19.5" thickBot="1" x14ac:dyDescent="0.2">
      <c r="A25" s="121"/>
      <c r="B25" s="117"/>
      <c r="C25" s="135"/>
      <c r="D25" s="136"/>
      <c r="E25" s="137"/>
      <c r="F25" s="77"/>
      <c r="G25" s="78">
        <v>0.14705882352941177</v>
      </c>
      <c r="H25" s="79">
        <f>H24/F24</f>
        <v>0.92156862745098034</v>
      </c>
      <c r="I25" s="78">
        <v>0.15957446808510639</v>
      </c>
      <c r="J25" s="79">
        <f>J24/H24</f>
        <v>0.92553191489361697</v>
      </c>
      <c r="K25" s="78">
        <v>0.14942528735632185</v>
      </c>
      <c r="L25" s="79">
        <f>L24/J24</f>
        <v>0.81609195402298851</v>
      </c>
      <c r="M25" s="78">
        <v>0.14084507042253522</v>
      </c>
      <c r="N25" s="79">
        <f>N24/L24</f>
        <v>0.92957746478873238</v>
      </c>
      <c r="O25" s="78">
        <v>0.18181818181818182</v>
      </c>
      <c r="P25" s="79">
        <f>P24/N24</f>
        <v>0.89393939393939392</v>
      </c>
      <c r="Q25" s="78">
        <f>Q24/P24</f>
        <v>0.32203389830508472</v>
      </c>
    </row>
    <row r="26" spans="1:18" ht="18.75" customHeight="1" x14ac:dyDescent="0.15">
      <c r="A26" s="120" t="s">
        <v>185</v>
      </c>
      <c r="B26" s="98" t="s">
        <v>149</v>
      </c>
      <c r="C26" s="118" t="s">
        <v>21</v>
      </c>
      <c r="D26" s="23"/>
      <c r="E26" s="7"/>
      <c r="F26" s="23"/>
      <c r="G26" s="7"/>
      <c r="H26" s="26">
        <v>128</v>
      </c>
      <c r="I26" s="59">
        <v>0</v>
      </c>
      <c r="J26" s="27">
        <v>132</v>
      </c>
      <c r="K26" s="59">
        <v>0</v>
      </c>
      <c r="L26" s="27">
        <v>122</v>
      </c>
      <c r="M26" s="59">
        <v>0</v>
      </c>
      <c r="N26" s="23"/>
      <c r="O26" s="7"/>
      <c r="P26" s="23"/>
      <c r="Q26" s="7"/>
      <c r="R26" s="130" t="s">
        <v>221</v>
      </c>
    </row>
    <row r="27" spans="1:18" ht="19.5" thickBot="1" x14ac:dyDescent="0.2">
      <c r="A27" s="123"/>
      <c r="B27" s="99"/>
      <c r="C27" s="119"/>
      <c r="D27" s="100"/>
      <c r="E27" s="97"/>
      <c r="F27" s="100"/>
      <c r="G27" s="97"/>
      <c r="H27" s="20"/>
      <c r="I27" s="53">
        <v>0</v>
      </c>
      <c r="J27" s="47">
        <f>J26/H26</f>
        <v>1.03125</v>
      </c>
      <c r="K27" s="53">
        <v>0</v>
      </c>
      <c r="L27" s="47">
        <f>L26/J26</f>
        <v>0.9242424242424242</v>
      </c>
      <c r="M27" s="53">
        <v>0</v>
      </c>
      <c r="N27" s="22"/>
      <c r="O27" s="58"/>
      <c r="P27" s="22"/>
      <c r="Q27" s="58"/>
      <c r="R27" s="130"/>
    </row>
    <row r="28" spans="1:18" ht="18.75" customHeight="1" x14ac:dyDescent="0.15">
      <c r="A28" s="123"/>
      <c r="B28" s="106" t="s">
        <v>150</v>
      </c>
      <c r="C28" s="118" t="s">
        <v>21</v>
      </c>
      <c r="D28" s="23"/>
      <c r="E28" s="7"/>
      <c r="F28" s="23"/>
      <c r="G28" s="7"/>
      <c r="H28" s="26">
        <v>64</v>
      </c>
      <c r="I28" s="59">
        <v>0</v>
      </c>
      <c r="J28" s="27">
        <v>46</v>
      </c>
      <c r="K28" s="59">
        <v>0</v>
      </c>
      <c r="L28" s="27">
        <v>56</v>
      </c>
      <c r="M28" s="59">
        <v>0</v>
      </c>
      <c r="N28" s="23"/>
      <c r="O28" s="7"/>
      <c r="P28" s="23"/>
      <c r="Q28" s="7"/>
      <c r="R28" s="130"/>
    </row>
    <row r="29" spans="1:18" ht="19.5" thickBot="1" x14ac:dyDescent="0.2">
      <c r="A29" s="124"/>
      <c r="B29" s="107"/>
      <c r="C29" s="119"/>
      <c r="D29" s="102"/>
      <c r="E29" s="103"/>
      <c r="F29" s="102"/>
      <c r="G29" s="103"/>
      <c r="H29" s="19"/>
      <c r="I29" s="53">
        <v>0</v>
      </c>
      <c r="J29" s="47">
        <f>J28/H28</f>
        <v>0.71875</v>
      </c>
      <c r="K29" s="53">
        <v>0</v>
      </c>
      <c r="L29" s="47">
        <f>L28/J28</f>
        <v>1.2173913043478262</v>
      </c>
      <c r="M29" s="53">
        <v>0</v>
      </c>
      <c r="N29" s="22"/>
      <c r="O29" s="58"/>
      <c r="P29" s="22"/>
      <c r="Q29" s="58"/>
      <c r="R29" s="130"/>
    </row>
    <row r="30" spans="1:18" ht="18.75" customHeight="1" x14ac:dyDescent="0.15">
      <c r="A30" s="123" t="s">
        <v>13</v>
      </c>
      <c r="B30" s="117" t="s">
        <v>155</v>
      </c>
      <c r="C30" s="135" t="s">
        <v>21</v>
      </c>
      <c r="D30" s="29">
        <v>71</v>
      </c>
      <c r="E30" s="68">
        <v>3</v>
      </c>
      <c r="F30" s="40"/>
      <c r="G30" s="67"/>
      <c r="H30" s="40"/>
      <c r="I30" s="67"/>
      <c r="J30" s="29">
        <v>238</v>
      </c>
      <c r="K30" s="69">
        <v>42</v>
      </c>
      <c r="L30" s="41">
        <v>239</v>
      </c>
      <c r="M30" s="69">
        <v>53</v>
      </c>
      <c r="N30" s="40"/>
      <c r="O30" s="67"/>
      <c r="P30" s="41">
        <v>162</v>
      </c>
      <c r="Q30" s="69">
        <v>39</v>
      </c>
    </row>
    <row r="31" spans="1:18" ht="19.5" thickBot="1" x14ac:dyDescent="0.2">
      <c r="A31" s="123"/>
      <c r="B31" s="117"/>
      <c r="C31" s="135"/>
      <c r="D31" s="77"/>
      <c r="E31" s="78">
        <v>4.2253521126760563E-2</v>
      </c>
      <c r="F31" s="136"/>
      <c r="G31" s="137"/>
      <c r="H31" s="136"/>
      <c r="I31" s="137"/>
      <c r="J31" s="77"/>
      <c r="K31" s="78">
        <v>0.17647058823529413</v>
      </c>
      <c r="L31" s="79">
        <f>L30/J30</f>
        <v>1.0042016806722689</v>
      </c>
      <c r="M31" s="78">
        <v>0.22175732217573221</v>
      </c>
      <c r="N31" s="80"/>
      <c r="O31" s="81"/>
      <c r="P31" s="79">
        <f>P30/L30</f>
        <v>0.67782426778242677</v>
      </c>
      <c r="Q31" s="78">
        <v>0.22175732217573221</v>
      </c>
    </row>
    <row r="32" spans="1:18" ht="22.5" x14ac:dyDescent="0.15">
      <c r="A32" s="106" t="s">
        <v>80</v>
      </c>
      <c r="B32" s="108" t="s">
        <v>154</v>
      </c>
      <c r="C32" s="118" t="s">
        <v>153</v>
      </c>
      <c r="D32" s="23"/>
      <c r="E32" s="7"/>
      <c r="F32" s="23"/>
      <c r="G32" s="7"/>
      <c r="H32" s="23"/>
      <c r="I32" s="7"/>
      <c r="J32" s="23"/>
      <c r="K32" s="7"/>
      <c r="L32" s="26">
        <v>39</v>
      </c>
      <c r="M32" s="59">
        <v>0</v>
      </c>
      <c r="N32" s="27">
        <v>67</v>
      </c>
      <c r="O32" s="59">
        <v>0</v>
      </c>
      <c r="P32" s="27">
        <v>90</v>
      </c>
      <c r="Q32" s="59">
        <v>0</v>
      </c>
    </row>
    <row r="33" spans="1:17" ht="19.5" thickBot="1" x14ac:dyDescent="0.2">
      <c r="A33" s="107"/>
      <c r="B33" s="107"/>
      <c r="C33" s="119"/>
      <c r="D33" s="100"/>
      <c r="E33" s="97"/>
      <c r="F33" s="100"/>
      <c r="G33" s="97"/>
      <c r="H33" s="100"/>
      <c r="I33" s="97"/>
      <c r="J33" s="100"/>
      <c r="K33" s="97"/>
      <c r="L33" s="19"/>
      <c r="M33" s="53">
        <v>0</v>
      </c>
      <c r="N33" s="47">
        <f>N32/L32</f>
        <v>1.7179487179487178</v>
      </c>
      <c r="O33" s="53">
        <v>0</v>
      </c>
      <c r="P33" s="47">
        <f>P32/N32</f>
        <v>1.3432835820895523</v>
      </c>
      <c r="Q33" s="53">
        <v>3.3333333333333333E-2</v>
      </c>
    </row>
    <row r="34" spans="1:17" ht="18.75" customHeight="1" x14ac:dyDescent="0.15">
      <c r="A34" s="123" t="s">
        <v>156</v>
      </c>
      <c r="B34" s="138" t="s">
        <v>157</v>
      </c>
      <c r="C34" s="135" t="s">
        <v>21</v>
      </c>
      <c r="D34" s="40"/>
      <c r="E34" s="67"/>
      <c r="F34" s="40"/>
      <c r="G34" s="67"/>
      <c r="H34" s="40"/>
      <c r="I34" s="67"/>
      <c r="J34" s="29">
        <v>47</v>
      </c>
      <c r="K34" s="68">
        <v>2</v>
      </c>
      <c r="L34" s="29">
        <v>38</v>
      </c>
      <c r="M34" s="69">
        <v>1</v>
      </c>
      <c r="N34" s="41">
        <v>30</v>
      </c>
      <c r="O34" s="69">
        <v>1</v>
      </c>
      <c r="P34" s="41">
        <v>21</v>
      </c>
      <c r="Q34" s="69">
        <v>1</v>
      </c>
    </row>
    <row r="35" spans="1:17" ht="19.5" thickBot="1" x14ac:dyDescent="0.2">
      <c r="A35" s="124"/>
      <c r="B35" s="107"/>
      <c r="C35" s="119"/>
      <c r="D35" s="102"/>
      <c r="E35" s="103"/>
      <c r="F35" s="102"/>
      <c r="G35" s="103"/>
      <c r="H35" s="100"/>
      <c r="I35" s="97"/>
      <c r="J35" s="19"/>
      <c r="K35" s="53">
        <v>4.2553191489361701E-2</v>
      </c>
      <c r="L35" s="47">
        <f>L34/J34</f>
        <v>0.80851063829787229</v>
      </c>
      <c r="M35" s="53">
        <v>2.6315789473684209E-2</v>
      </c>
      <c r="N35" s="47">
        <f>N34/L34</f>
        <v>0.78947368421052633</v>
      </c>
      <c r="O35" s="53">
        <v>3.3333333333333333E-2</v>
      </c>
      <c r="P35" s="47">
        <f>P34/N34</f>
        <v>0.7</v>
      </c>
      <c r="Q35" s="53">
        <v>3.3333333333333333E-2</v>
      </c>
    </row>
    <row r="40" spans="1:17" ht="19.5" customHeight="1" x14ac:dyDescent="0.15"/>
    <row r="46" spans="1:17" ht="19.5" customHeight="1" x14ac:dyDescent="0.15"/>
    <row r="56" ht="19.5" customHeight="1" x14ac:dyDescent="0.15"/>
    <row r="60" ht="19.5" customHeight="1" x14ac:dyDescent="0.15"/>
    <row r="70" ht="19.5" customHeight="1" x14ac:dyDescent="0.15"/>
    <row r="74" ht="18.75" customHeight="1" x14ac:dyDescent="0.15"/>
    <row r="76" ht="18.75" customHeight="1" x14ac:dyDescent="0.15"/>
    <row r="78" ht="18.75" customHeight="1" x14ac:dyDescent="0.15"/>
    <row r="82" ht="18.75" customHeight="1" x14ac:dyDescent="0.15"/>
    <row r="84" ht="18.75" customHeight="1" x14ac:dyDescent="0.15"/>
    <row r="86" ht="18.75" customHeight="1" x14ac:dyDescent="0.15"/>
    <row r="88" ht="18.75" customHeight="1" x14ac:dyDescent="0.15"/>
    <row r="90" ht="18.75" customHeight="1" x14ac:dyDescent="0.15"/>
  </sheetData>
  <mergeCells count="66">
    <mergeCell ref="A6:A9"/>
    <mergeCell ref="B8:B9"/>
    <mergeCell ref="C8:C9"/>
    <mergeCell ref="B6:B7"/>
    <mergeCell ref="C6:C7"/>
    <mergeCell ref="A22:A25"/>
    <mergeCell ref="B24:B25"/>
    <mergeCell ref="C24:C25"/>
    <mergeCell ref="D25:E25"/>
    <mergeCell ref="B22:B23"/>
    <mergeCell ref="C22:C23"/>
    <mergeCell ref="D23:E23"/>
    <mergeCell ref="A34:A35"/>
    <mergeCell ref="B34:B35"/>
    <mergeCell ref="C34:C35"/>
    <mergeCell ref="D35:E35"/>
    <mergeCell ref="F35:G35"/>
    <mergeCell ref="H35:I35"/>
    <mergeCell ref="C16:C17"/>
    <mergeCell ref="D17:E17"/>
    <mergeCell ref="C18:C19"/>
    <mergeCell ref="D19:E19"/>
    <mergeCell ref="H33:I33"/>
    <mergeCell ref="C20:C21"/>
    <mergeCell ref="D21:E21"/>
    <mergeCell ref="J33:K33"/>
    <mergeCell ref="A30:A31"/>
    <mergeCell ref="B30:B31"/>
    <mergeCell ref="C30:C31"/>
    <mergeCell ref="F31:G31"/>
    <mergeCell ref="H31:I31"/>
    <mergeCell ref="A32:A33"/>
    <mergeCell ref="B32:B33"/>
    <mergeCell ref="C32:C33"/>
    <mergeCell ref="D33:E33"/>
    <mergeCell ref="F33:G33"/>
    <mergeCell ref="A26:A29"/>
    <mergeCell ref="B26:B27"/>
    <mergeCell ref="C26:C27"/>
    <mergeCell ref="D27:E27"/>
    <mergeCell ref="F27:G27"/>
    <mergeCell ref="B28:B29"/>
    <mergeCell ref="C28:C29"/>
    <mergeCell ref="D29:E29"/>
    <mergeCell ref="F29:G29"/>
    <mergeCell ref="A12:A21"/>
    <mergeCell ref="B12:B13"/>
    <mergeCell ref="C12:C13"/>
    <mergeCell ref="D13:E13"/>
    <mergeCell ref="A10:A11"/>
    <mergeCell ref="B10:B11"/>
    <mergeCell ref="C10:C11"/>
    <mergeCell ref="B14:B15"/>
    <mergeCell ref="C14:C15"/>
    <mergeCell ref="D15:E15"/>
    <mergeCell ref="B16:B17"/>
    <mergeCell ref="B20:B21"/>
    <mergeCell ref="B18:B19"/>
    <mergeCell ref="N3:O3"/>
    <mergeCell ref="R26:R29"/>
    <mergeCell ref="D3:E3"/>
    <mergeCell ref="F3:G3"/>
    <mergeCell ref="H3:I3"/>
    <mergeCell ref="J3:K3"/>
    <mergeCell ref="L3:M3"/>
    <mergeCell ref="P3:Q3"/>
  </mergeCells>
  <phoneticPr fontId="2"/>
  <conditionalFormatting sqref="L35 N35 P35 P33 P31 N33 P25 P23 P21 P19 P17 P15 P13 P11 P9 P7 N25 N23 N21 N19 N17 N15 N13 N11 N9 N7 L31 L29 L27 L25 L23 L21 L19 L17 L15 L13 L11 L9 L7 J29 J27 J25 J23 J21 J19 J17 J15 J13 J11 J9 J7 H25 H23 H21 H19 H17 H15 H13 H11 H9 H7 F11 F9 F7">
    <cfRule type="cellIs" dxfId="45" priority="1" operator="lessThan">
      <formula>1</formula>
    </cfRule>
    <cfRule type="cellIs" dxfId="44" priority="2" operator="greaterThanOrEqual">
      <formula>1</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585A-617F-4DBF-8976-6850D2B7B357}">
  <dimension ref="A2:Q122"/>
  <sheetViews>
    <sheetView showGridLines="0" topLeftCell="A10" zoomScale="80" zoomScaleNormal="80" workbookViewId="0">
      <selection activeCell="T49" sqref="T49"/>
    </sheetView>
  </sheetViews>
  <sheetFormatPr defaultRowHeight="18.75" x14ac:dyDescent="0.15"/>
  <cols>
    <col min="1" max="1" width="26.5" style="1" bestFit="1" customWidth="1"/>
    <col min="2" max="2" width="26.5" style="2" bestFit="1" customWidth="1"/>
    <col min="3" max="3" width="8.625" style="2" customWidth="1"/>
    <col min="4" max="4" width="6.875" style="1" bestFit="1" customWidth="1"/>
    <col min="5" max="5" width="7.625" style="1" bestFit="1" customWidth="1"/>
    <col min="6" max="6" width="9.75" style="1" bestFit="1" customWidth="1"/>
    <col min="7" max="7" width="7.625" style="1" bestFit="1" customWidth="1"/>
    <col min="8" max="8" width="9.75" style="1" bestFit="1" customWidth="1"/>
    <col min="9" max="9" width="7.625" style="1" bestFit="1" customWidth="1"/>
    <col min="10" max="10" width="9.75" style="1" bestFit="1" customWidth="1"/>
    <col min="11" max="11" width="7.625" style="1" bestFit="1" customWidth="1"/>
    <col min="12" max="12" width="9.75" style="1" bestFit="1" customWidth="1"/>
    <col min="13" max="13" width="7.625" style="1" bestFit="1" customWidth="1"/>
    <col min="14" max="14" width="9.75" style="1" bestFit="1" customWidth="1"/>
    <col min="15" max="15" width="7.625" style="1" bestFit="1" customWidth="1"/>
    <col min="16" max="16" width="9.625" style="1" bestFit="1" customWidth="1"/>
    <col min="17" max="17" width="7.62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18.75" customHeight="1" x14ac:dyDescent="0.15">
      <c r="A6" s="139" t="s">
        <v>0</v>
      </c>
      <c r="B6" s="141" t="s">
        <v>172</v>
      </c>
      <c r="C6" s="142" t="s">
        <v>21</v>
      </c>
      <c r="D6" s="25">
        <v>276</v>
      </c>
      <c r="E6" s="50">
        <v>11</v>
      </c>
      <c r="F6" s="25">
        <v>283</v>
      </c>
      <c r="G6" s="50">
        <v>16</v>
      </c>
      <c r="H6" s="25">
        <v>280</v>
      </c>
      <c r="I6" s="50">
        <v>13</v>
      </c>
      <c r="J6" s="25">
        <v>240</v>
      </c>
      <c r="K6" s="50">
        <v>11</v>
      </c>
      <c r="L6" s="25">
        <v>233</v>
      </c>
      <c r="M6" s="50">
        <v>10</v>
      </c>
      <c r="N6" s="25">
        <v>202</v>
      </c>
      <c r="O6" s="50">
        <v>4</v>
      </c>
      <c r="P6" s="25">
        <v>170</v>
      </c>
      <c r="Q6" s="50">
        <v>3</v>
      </c>
    </row>
    <row r="7" spans="1:17" ht="19.5" thickBot="1" x14ac:dyDescent="0.2">
      <c r="A7" s="131"/>
      <c r="B7" s="112"/>
      <c r="C7" s="143"/>
      <c r="D7" s="19"/>
      <c r="E7" s="70">
        <f>E6/D6</f>
        <v>3.9855072463768113E-2</v>
      </c>
      <c r="F7" s="16">
        <f>F6/D6</f>
        <v>1.0253623188405796</v>
      </c>
      <c r="G7" s="70">
        <f>G6/F6</f>
        <v>5.6537102473498232E-2</v>
      </c>
      <c r="H7" s="16">
        <f>H6/F6</f>
        <v>0.98939929328621912</v>
      </c>
      <c r="I7" s="70">
        <f>I6/H6</f>
        <v>4.642857142857143E-2</v>
      </c>
      <c r="J7" s="16">
        <f>J6/H6</f>
        <v>0.8571428571428571</v>
      </c>
      <c r="K7" s="70">
        <f>K6/J6</f>
        <v>4.583333333333333E-2</v>
      </c>
      <c r="L7" s="16">
        <f>L6/J6</f>
        <v>0.97083333333333333</v>
      </c>
      <c r="M7" s="70">
        <f>M6/L6</f>
        <v>4.2918454935622317E-2</v>
      </c>
      <c r="N7" s="16">
        <f>N6/L6</f>
        <v>0.86695278969957079</v>
      </c>
      <c r="O7" s="70">
        <f>O6/N6</f>
        <v>1.9801980198019802E-2</v>
      </c>
      <c r="P7" s="16">
        <f>P6/N6</f>
        <v>0.84158415841584155</v>
      </c>
      <c r="Q7" s="70">
        <f>Q6/P6</f>
        <v>1.7647058823529412E-2</v>
      </c>
    </row>
    <row r="8" spans="1:17" ht="18.75" customHeight="1" x14ac:dyDescent="0.15">
      <c r="A8" s="131"/>
      <c r="B8" s="141" t="s">
        <v>158</v>
      </c>
      <c r="C8" s="142" t="s">
        <v>21</v>
      </c>
      <c r="D8" s="25">
        <v>137</v>
      </c>
      <c r="E8" s="50">
        <v>3</v>
      </c>
      <c r="F8" s="25">
        <v>164</v>
      </c>
      <c r="G8" s="50">
        <v>2</v>
      </c>
      <c r="H8" s="25">
        <v>213</v>
      </c>
      <c r="I8" s="50">
        <v>2</v>
      </c>
      <c r="J8" s="25">
        <v>210</v>
      </c>
      <c r="K8" s="50">
        <v>1</v>
      </c>
      <c r="L8" s="25">
        <v>207</v>
      </c>
      <c r="M8" s="50">
        <v>4</v>
      </c>
      <c r="N8" s="25">
        <v>215</v>
      </c>
      <c r="O8" s="50">
        <v>3</v>
      </c>
      <c r="P8" s="25">
        <v>219</v>
      </c>
      <c r="Q8" s="50">
        <v>6</v>
      </c>
    </row>
    <row r="9" spans="1:17" ht="19.5" thickBot="1" x14ac:dyDescent="0.2">
      <c r="A9" s="131"/>
      <c r="B9" s="112"/>
      <c r="C9" s="143"/>
      <c r="D9" s="19"/>
      <c r="E9" s="70">
        <f>E8/D8</f>
        <v>2.1897810218978103E-2</v>
      </c>
      <c r="F9" s="16">
        <f>F8/D8</f>
        <v>1.197080291970803</v>
      </c>
      <c r="G9" s="70">
        <f>G8/F8</f>
        <v>1.2195121951219513E-2</v>
      </c>
      <c r="H9" s="16">
        <f>H8/F8</f>
        <v>1.2987804878048781</v>
      </c>
      <c r="I9" s="70">
        <f>I8/H8</f>
        <v>9.3896713615023476E-3</v>
      </c>
      <c r="J9" s="16">
        <f>J8/H8</f>
        <v>0.9859154929577465</v>
      </c>
      <c r="K9" s="70">
        <f>K8/J8</f>
        <v>4.7619047619047623E-3</v>
      </c>
      <c r="L9" s="16">
        <f>L8/J8</f>
        <v>0.98571428571428577</v>
      </c>
      <c r="M9" s="70">
        <f>M8/L8</f>
        <v>1.932367149758454E-2</v>
      </c>
      <c r="N9" s="16">
        <f>N8/L8</f>
        <v>1.038647342995169</v>
      </c>
      <c r="O9" s="70">
        <f>O8/N8</f>
        <v>1.3953488372093023E-2</v>
      </c>
      <c r="P9" s="16">
        <f>P8/N8</f>
        <v>1.0186046511627906</v>
      </c>
      <c r="Q9" s="70">
        <f>Q8/P8</f>
        <v>2.7397260273972601E-2</v>
      </c>
    </row>
    <row r="10" spans="1:17" ht="22.5" x14ac:dyDescent="0.15">
      <c r="A10" s="131"/>
      <c r="B10" s="141" t="s">
        <v>159</v>
      </c>
      <c r="C10" s="142" t="s">
        <v>21</v>
      </c>
      <c r="D10" s="25">
        <v>190</v>
      </c>
      <c r="E10" s="50">
        <v>0</v>
      </c>
      <c r="F10" s="25">
        <v>185</v>
      </c>
      <c r="G10" s="50">
        <v>1</v>
      </c>
      <c r="H10" s="25">
        <v>190</v>
      </c>
      <c r="I10" s="50">
        <v>1</v>
      </c>
      <c r="J10" s="25">
        <v>189</v>
      </c>
      <c r="K10" s="50">
        <v>0</v>
      </c>
      <c r="L10" s="25">
        <v>223</v>
      </c>
      <c r="M10" s="50">
        <v>0</v>
      </c>
      <c r="N10" s="25">
        <v>227</v>
      </c>
      <c r="O10" s="50">
        <v>0</v>
      </c>
      <c r="P10" s="25">
        <v>226</v>
      </c>
      <c r="Q10" s="50">
        <v>0</v>
      </c>
    </row>
    <row r="11" spans="1:17" ht="19.5" thickBot="1" x14ac:dyDescent="0.2">
      <c r="A11" s="140"/>
      <c r="B11" s="112"/>
      <c r="C11" s="143"/>
      <c r="D11" s="19"/>
      <c r="E11" s="70">
        <f>E10/D10</f>
        <v>0</v>
      </c>
      <c r="F11" s="16">
        <f>F10/D10</f>
        <v>0.97368421052631582</v>
      </c>
      <c r="G11" s="70">
        <f>G10/F10</f>
        <v>5.4054054054054057E-3</v>
      </c>
      <c r="H11" s="16">
        <f>H10/F10</f>
        <v>1.027027027027027</v>
      </c>
      <c r="I11" s="70">
        <f>I10/H10</f>
        <v>5.263157894736842E-3</v>
      </c>
      <c r="J11" s="16">
        <f>J10/H10</f>
        <v>0.99473684210526314</v>
      </c>
      <c r="K11" s="70">
        <f>K10/J10</f>
        <v>0</v>
      </c>
      <c r="L11" s="16">
        <f>L10/J10</f>
        <v>1.17989417989418</v>
      </c>
      <c r="M11" s="70">
        <f>M10/L10</f>
        <v>0</v>
      </c>
      <c r="N11" s="16">
        <f>N10/L10</f>
        <v>1.0179372197309418</v>
      </c>
      <c r="O11" s="70">
        <f>O10/N10</f>
        <v>0</v>
      </c>
      <c r="P11" s="16">
        <f>P10/N10</f>
        <v>0.99559471365638763</v>
      </c>
      <c r="Q11" s="70">
        <f>Q10/P10</f>
        <v>0</v>
      </c>
    </row>
    <row r="12" spans="1:17" ht="18.75" customHeight="1" x14ac:dyDescent="0.15">
      <c r="A12" s="145" t="s">
        <v>1</v>
      </c>
      <c r="B12" s="141" t="s">
        <v>172</v>
      </c>
      <c r="C12" s="142" t="s">
        <v>21</v>
      </c>
      <c r="D12" s="25">
        <v>152</v>
      </c>
      <c r="E12" s="50">
        <v>0</v>
      </c>
      <c r="F12" s="25">
        <v>137</v>
      </c>
      <c r="G12" s="50">
        <v>2</v>
      </c>
      <c r="H12" s="25">
        <v>132</v>
      </c>
      <c r="I12" s="50">
        <v>3</v>
      </c>
      <c r="J12" s="25">
        <v>150</v>
      </c>
      <c r="K12" s="50">
        <v>1</v>
      </c>
      <c r="L12" s="25">
        <v>153</v>
      </c>
      <c r="M12" s="50">
        <v>1</v>
      </c>
      <c r="N12" s="25">
        <v>127</v>
      </c>
      <c r="O12" s="50">
        <v>2</v>
      </c>
      <c r="P12" s="25">
        <v>122</v>
      </c>
      <c r="Q12" s="50">
        <v>1</v>
      </c>
    </row>
    <row r="13" spans="1:17" ht="19.5" thickBot="1" x14ac:dyDescent="0.2">
      <c r="A13" s="146"/>
      <c r="B13" s="112"/>
      <c r="C13" s="143"/>
      <c r="D13" s="19"/>
      <c r="E13" s="70">
        <f>E12/D12</f>
        <v>0</v>
      </c>
      <c r="F13" s="16">
        <f>F12/D12</f>
        <v>0.90131578947368418</v>
      </c>
      <c r="G13" s="70">
        <f>G12/F12</f>
        <v>1.4598540145985401E-2</v>
      </c>
      <c r="H13" s="16">
        <f>H12/F12</f>
        <v>0.96350364963503654</v>
      </c>
      <c r="I13" s="70">
        <f>I12/H12</f>
        <v>2.2727272727272728E-2</v>
      </c>
      <c r="J13" s="16">
        <f>J12/H12</f>
        <v>1.1363636363636365</v>
      </c>
      <c r="K13" s="70">
        <f>K12/J12</f>
        <v>6.6666666666666671E-3</v>
      </c>
      <c r="L13" s="16">
        <f>L12/J12</f>
        <v>1.02</v>
      </c>
      <c r="M13" s="70">
        <f>M12/L12</f>
        <v>6.5359477124183009E-3</v>
      </c>
      <c r="N13" s="16">
        <f>N12/L12</f>
        <v>0.83006535947712423</v>
      </c>
      <c r="O13" s="70">
        <f>O12/N12</f>
        <v>1.5748031496062992E-2</v>
      </c>
      <c r="P13" s="16">
        <f>P12/N12</f>
        <v>0.96062992125984248</v>
      </c>
      <c r="Q13" s="70">
        <f>Q12/P12</f>
        <v>8.1967213114754103E-3</v>
      </c>
    </row>
    <row r="14" spans="1:17" ht="18.75" customHeight="1" x14ac:dyDescent="0.15">
      <c r="A14" s="146"/>
      <c r="B14" s="141" t="s">
        <v>158</v>
      </c>
      <c r="C14" s="142" t="s">
        <v>21</v>
      </c>
      <c r="D14" s="25">
        <v>131</v>
      </c>
      <c r="E14" s="50">
        <v>3</v>
      </c>
      <c r="F14" s="25">
        <v>125</v>
      </c>
      <c r="G14" s="50">
        <v>2</v>
      </c>
      <c r="H14" s="25">
        <v>137</v>
      </c>
      <c r="I14" s="50">
        <v>1</v>
      </c>
      <c r="J14" s="25">
        <v>138</v>
      </c>
      <c r="K14" s="50">
        <v>0</v>
      </c>
      <c r="L14" s="25">
        <v>117</v>
      </c>
      <c r="M14" s="50">
        <v>3</v>
      </c>
      <c r="N14" s="25">
        <v>103</v>
      </c>
      <c r="O14" s="50">
        <v>3</v>
      </c>
      <c r="P14" s="25">
        <v>92</v>
      </c>
      <c r="Q14" s="50">
        <v>0</v>
      </c>
    </row>
    <row r="15" spans="1:17" ht="19.5" thickBot="1" x14ac:dyDescent="0.2">
      <c r="A15" s="146"/>
      <c r="B15" s="112"/>
      <c r="C15" s="143"/>
      <c r="D15" s="19"/>
      <c r="E15" s="70">
        <f>E14/D14</f>
        <v>2.2900763358778626E-2</v>
      </c>
      <c r="F15" s="16">
        <f>F14/D14</f>
        <v>0.95419847328244278</v>
      </c>
      <c r="G15" s="70">
        <f>G14/F14</f>
        <v>1.6E-2</v>
      </c>
      <c r="H15" s="16">
        <f>H14/F14</f>
        <v>1.0960000000000001</v>
      </c>
      <c r="I15" s="70">
        <f>I14/H14</f>
        <v>7.2992700729927005E-3</v>
      </c>
      <c r="J15" s="16">
        <f>J14/H14</f>
        <v>1.0072992700729928</v>
      </c>
      <c r="K15" s="70">
        <f>K14/J14</f>
        <v>0</v>
      </c>
      <c r="L15" s="16">
        <f>L14/J14</f>
        <v>0.84782608695652173</v>
      </c>
      <c r="M15" s="70">
        <f>M14/L14</f>
        <v>2.564102564102564E-2</v>
      </c>
      <c r="N15" s="16">
        <f>N14/L14</f>
        <v>0.88034188034188032</v>
      </c>
      <c r="O15" s="70">
        <f>O14/N14</f>
        <v>2.9126213592233011E-2</v>
      </c>
      <c r="P15" s="16">
        <f>P14/N14</f>
        <v>0.89320388349514568</v>
      </c>
      <c r="Q15" s="70">
        <f>Q14/P14</f>
        <v>0</v>
      </c>
    </row>
    <row r="16" spans="1:17" ht="18.75" customHeight="1" x14ac:dyDescent="0.15">
      <c r="A16" s="146"/>
      <c r="B16" s="141" t="s">
        <v>159</v>
      </c>
      <c r="C16" s="142" t="s">
        <v>21</v>
      </c>
      <c r="D16" s="35"/>
      <c r="E16" s="54"/>
      <c r="F16" s="35"/>
      <c r="G16" s="54"/>
      <c r="H16" s="35"/>
      <c r="I16" s="54"/>
      <c r="J16" s="35"/>
      <c r="K16" s="54"/>
      <c r="L16" s="35"/>
      <c r="M16" s="54"/>
      <c r="N16" s="35"/>
      <c r="O16" s="54"/>
      <c r="P16" s="25">
        <v>54</v>
      </c>
      <c r="Q16" s="50">
        <v>0</v>
      </c>
    </row>
    <row r="17" spans="1:17" ht="19.5" thickBot="1" x14ac:dyDescent="0.2">
      <c r="A17" s="147"/>
      <c r="B17" s="112"/>
      <c r="C17" s="143"/>
      <c r="D17" s="18"/>
      <c r="E17" s="58"/>
      <c r="F17" s="18"/>
      <c r="G17" s="58"/>
      <c r="H17" s="18"/>
      <c r="I17" s="58"/>
      <c r="J17" s="18"/>
      <c r="K17" s="58"/>
      <c r="L17" s="18"/>
      <c r="M17" s="58"/>
      <c r="N17" s="18"/>
      <c r="O17" s="58"/>
      <c r="P17" s="19"/>
      <c r="Q17" s="70">
        <f>Q16/P16</f>
        <v>0</v>
      </c>
    </row>
    <row r="18" spans="1:17" ht="18.75" customHeight="1" x14ac:dyDescent="0.15">
      <c r="A18" s="129" t="s">
        <v>2</v>
      </c>
      <c r="B18" s="104" t="s">
        <v>160</v>
      </c>
      <c r="C18" s="118" t="s">
        <v>14</v>
      </c>
      <c r="D18" s="26">
        <v>4</v>
      </c>
      <c r="E18" s="52">
        <v>1</v>
      </c>
      <c r="F18" s="26">
        <v>5</v>
      </c>
      <c r="G18" s="52">
        <v>0</v>
      </c>
      <c r="H18" s="26">
        <v>11</v>
      </c>
      <c r="I18" s="52">
        <v>1</v>
      </c>
      <c r="J18" s="26">
        <v>9</v>
      </c>
      <c r="K18" s="52">
        <v>1</v>
      </c>
      <c r="L18" s="26">
        <v>15</v>
      </c>
      <c r="M18" s="52">
        <v>0</v>
      </c>
      <c r="N18" s="26">
        <v>23</v>
      </c>
      <c r="O18" s="52">
        <v>2</v>
      </c>
      <c r="P18" s="26">
        <v>15</v>
      </c>
      <c r="Q18" s="52">
        <v>2</v>
      </c>
    </row>
    <row r="19" spans="1:17" ht="19.5" thickBot="1" x14ac:dyDescent="0.2">
      <c r="A19" s="123"/>
      <c r="B19" s="105"/>
      <c r="C19" s="119"/>
      <c r="D19" s="19"/>
      <c r="E19" s="53">
        <f>E18/D18</f>
        <v>0.25</v>
      </c>
      <c r="F19" s="47">
        <f>F18/D18</f>
        <v>1.25</v>
      </c>
      <c r="G19" s="53">
        <f>G18/F18</f>
        <v>0</v>
      </c>
      <c r="H19" s="47">
        <f>H18/F18</f>
        <v>2.2000000000000002</v>
      </c>
      <c r="I19" s="53">
        <f>I18/H18</f>
        <v>9.0909090909090912E-2</v>
      </c>
      <c r="J19" s="47">
        <f>J18/H18</f>
        <v>0.81818181818181823</v>
      </c>
      <c r="K19" s="53">
        <f>K18/J18</f>
        <v>0.1111111111111111</v>
      </c>
      <c r="L19" s="47">
        <f>L18/J18</f>
        <v>1.6666666666666667</v>
      </c>
      <c r="M19" s="53">
        <f>M18/L18</f>
        <v>0</v>
      </c>
      <c r="N19" s="47">
        <f>N18/L18</f>
        <v>1.5333333333333334</v>
      </c>
      <c r="O19" s="53">
        <f>O18/N18</f>
        <v>8.6956521739130432E-2</v>
      </c>
      <c r="P19" s="47">
        <f>P18/N18</f>
        <v>0.65217391304347827</v>
      </c>
      <c r="Q19" s="53">
        <f>Q18/P18</f>
        <v>0.13333333333333333</v>
      </c>
    </row>
    <row r="20" spans="1:17" ht="22.5" x14ac:dyDescent="0.15">
      <c r="A20" s="123"/>
      <c r="B20" s="104" t="s">
        <v>161</v>
      </c>
      <c r="C20" s="118" t="s">
        <v>14</v>
      </c>
      <c r="D20" s="26">
        <v>24</v>
      </c>
      <c r="E20" s="52">
        <v>9</v>
      </c>
      <c r="F20" s="26">
        <v>35</v>
      </c>
      <c r="G20" s="52">
        <v>16</v>
      </c>
      <c r="H20" s="26">
        <v>41</v>
      </c>
      <c r="I20" s="52">
        <v>12</v>
      </c>
      <c r="J20" s="26">
        <v>29</v>
      </c>
      <c r="K20" s="52">
        <v>7</v>
      </c>
      <c r="L20" s="26">
        <v>28</v>
      </c>
      <c r="M20" s="52">
        <v>4</v>
      </c>
      <c r="N20" s="26">
        <v>23</v>
      </c>
      <c r="O20" s="52">
        <v>1</v>
      </c>
      <c r="P20" s="26">
        <v>28</v>
      </c>
      <c r="Q20" s="52">
        <v>4</v>
      </c>
    </row>
    <row r="21" spans="1:17" ht="19.5" thickBot="1" x14ac:dyDescent="0.2">
      <c r="A21" s="123"/>
      <c r="B21" s="105"/>
      <c r="C21" s="119"/>
      <c r="D21" s="19"/>
      <c r="E21" s="53">
        <f>E20/D20</f>
        <v>0.375</v>
      </c>
      <c r="F21" s="47">
        <f>F20/D20</f>
        <v>1.4583333333333333</v>
      </c>
      <c r="G21" s="53">
        <f>G20/F20</f>
        <v>0.45714285714285713</v>
      </c>
      <c r="H21" s="47">
        <f>H20/F20</f>
        <v>1.1714285714285715</v>
      </c>
      <c r="I21" s="53">
        <f>I20/H20</f>
        <v>0.29268292682926828</v>
      </c>
      <c r="J21" s="47">
        <f>J20/H20</f>
        <v>0.70731707317073167</v>
      </c>
      <c r="K21" s="53">
        <f>K20/J20</f>
        <v>0.2413793103448276</v>
      </c>
      <c r="L21" s="47">
        <f>L20/J20</f>
        <v>0.96551724137931039</v>
      </c>
      <c r="M21" s="53">
        <f>M20/L20</f>
        <v>0.14285714285714285</v>
      </c>
      <c r="N21" s="47">
        <f>N20/L20</f>
        <v>0.8214285714285714</v>
      </c>
      <c r="O21" s="53">
        <f>O20/N20</f>
        <v>4.3478260869565216E-2</v>
      </c>
      <c r="P21" s="47">
        <f>P20/N20</f>
        <v>1.2173913043478262</v>
      </c>
      <c r="Q21" s="53">
        <f>Q20/P20</f>
        <v>0.14285714285714285</v>
      </c>
    </row>
    <row r="22" spans="1:17" ht="22.5" x14ac:dyDescent="0.15">
      <c r="A22" s="123"/>
      <c r="B22" s="98" t="s">
        <v>162</v>
      </c>
      <c r="C22" s="118" t="s">
        <v>21</v>
      </c>
      <c r="D22" s="26">
        <v>82</v>
      </c>
      <c r="E22" s="52">
        <v>8</v>
      </c>
      <c r="F22" s="26">
        <v>102</v>
      </c>
      <c r="G22" s="52">
        <v>8</v>
      </c>
      <c r="H22" s="26">
        <v>101</v>
      </c>
      <c r="I22" s="52">
        <v>5</v>
      </c>
      <c r="J22" s="26">
        <v>87</v>
      </c>
      <c r="K22" s="52">
        <v>2</v>
      </c>
      <c r="L22" s="26">
        <v>95</v>
      </c>
      <c r="M22" s="52">
        <v>4</v>
      </c>
      <c r="N22" s="26">
        <v>93</v>
      </c>
      <c r="O22" s="52">
        <v>3</v>
      </c>
      <c r="P22" s="26">
        <v>77</v>
      </c>
      <c r="Q22" s="52">
        <v>5</v>
      </c>
    </row>
    <row r="23" spans="1:17" ht="19.5" thickBot="1" x14ac:dyDescent="0.2">
      <c r="A23" s="123"/>
      <c r="B23" s="99"/>
      <c r="C23" s="119"/>
      <c r="D23" s="19"/>
      <c r="E23" s="53">
        <f>E22/D22</f>
        <v>9.7560975609756101E-2</v>
      </c>
      <c r="F23" s="47">
        <f>F22/D22</f>
        <v>1.2439024390243902</v>
      </c>
      <c r="G23" s="53">
        <f>G22/F22</f>
        <v>7.8431372549019607E-2</v>
      </c>
      <c r="H23" s="47">
        <f>H22/F22</f>
        <v>0.99019607843137258</v>
      </c>
      <c r="I23" s="53">
        <f>I22/H22</f>
        <v>4.9504950495049507E-2</v>
      </c>
      <c r="J23" s="47">
        <f>J22/H22</f>
        <v>0.86138613861386137</v>
      </c>
      <c r="K23" s="53">
        <f>K22/J22</f>
        <v>2.2988505747126436E-2</v>
      </c>
      <c r="L23" s="47">
        <f>L22/J22</f>
        <v>1.0919540229885059</v>
      </c>
      <c r="M23" s="53">
        <f>M22/L22</f>
        <v>4.2105263157894736E-2</v>
      </c>
      <c r="N23" s="47">
        <f>N22/L22</f>
        <v>0.97894736842105268</v>
      </c>
      <c r="O23" s="53">
        <f>O22/N22</f>
        <v>3.2258064516129031E-2</v>
      </c>
      <c r="P23" s="47">
        <f>P22/N22</f>
        <v>0.82795698924731187</v>
      </c>
      <c r="Q23" s="53">
        <f>Q22/P22</f>
        <v>6.4935064935064929E-2</v>
      </c>
    </row>
    <row r="24" spans="1:17" ht="22.5" x14ac:dyDescent="0.15">
      <c r="A24" s="123"/>
      <c r="B24" s="98" t="s">
        <v>163</v>
      </c>
      <c r="C24" s="118" t="s">
        <v>21</v>
      </c>
      <c r="D24" s="26">
        <v>143</v>
      </c>
      <c r="E24" s="52">
        <v>11</v>
      </c>
      <c r="F24" s="26">
        <v>183</v>
      </c>
      <c r="G24" s="52">
        <v>11</v>
      </c>
      <c r="H24" s="26">
        <v>174</v>
      </c>
      <c r="I24" s="52">
        <v>6</v>
      </c>
      <c r="J24" s="26">
        <v>167</v>
      </c>
      <c r="K24" s="52">
        <v>1</v>
      </c>
      <c r="L24" s="26">
        <v>162</v>
      </c>
      <c r="M24" s="52">
        <v>3</v>
      </c>
      <c r="N24" s="26">
        <v>148</v>
      </c>
      <c r="O24" s="52">
        <v>9</v>
      </c>
      <c r="P24" s="26">
        <v>143</v>
      </c>
      <c r="Q24" s="52">
        <v>11</v>
      </c>
    </row>
    <row r="25" spans="1:17" ht="19.5" thickBot="1" x14ac:dyDescent="0.2">
      <c r="A25" s="123"/>
      <c r="B25" s="99"/>
      <c r="C25" s="119"/>
      <c r="D25" s="19"/>
      <c r="E25" s="53">
        <f>E24/D24</f>
        <v>7.6923076923076927E-2</v>
      </c>
      <c r="F25" s="47">
        <f>F24/D24</f>
        <v>1.2797202797202798</v>
      </c>
      <c r="G25" s="53">
        <f>G24/F24</f>
        <v>6.0109289617486336E-2</v>
      </c>
      <c r="H25" s="47">
        <f>H24/F24</f>
        <v>0.95081967213114749</v>
      </c>
      <c r="I25" s="53">
        <f>I24/H24</f>
        <v>3.4482758620689655E-2</v>
      </c>
      <c r="J25" s="47">
        <f>J24/H24</f>
        <v>0.95977011494252873</v>
      </c>
      <c r="K25" s="53">
        <f>K24/J24</f>
        <v>5.9880239520958087E-3</v>
      </c>
      <c r="L25" s="47">
        <f>L24/J24</f>
        <v>0.97005988023952094</v>
      </c>
      <c r="M25" s="53">
        <f>M24/L24</f>
        <v>1.8518518518518517E-2</v>
      </c>
      <c r="N25" s="47">
        <f>N24/L24</f>
        <v>0.9135802469135802</v>
      </c>
      <c r="O25" s="53">
        <f>O24/N24</f>
        <v>6.0810810810810814E-2</v>
      </c>
      <c r="P25" s="47">
        <f>P24/N24</f>
        <v>0.96621621621621623</v>
      </c>
      <c r="Q25" s="53">
        <f>Q24/P24</f>
        <v>7.6923076923076927E-2</v>
      </c>
    </row>
    <row r="26" spans="1:17" ht="22.5" x14ac:dyDescent="0.15">
      <c r="A26" s="123"/>
      <c r="B26" s="98" t="s">
        <v>164</v>
      </c>
      <c r="C26" s="118" t="s">
        <v>21</v>
      </c>
      <c r="D26" s="26">
        <v>120</v>
      </c>
      <c r="E26" s="52">
        <v>42</v>
      </c>
      <c r="F26" s="26">
        <v>150</v>
      </c>
      <c r="G26" s="52">
        <v>42</v>
      </c>
      <c r="H26" s="26">
        <v>171</v>
      </c>
      <c r="I26" s="52">
        <v>29</v>
      </c>
      <c r="J26" s="26">
        <v>163</v>
      </c>
      <c r="K26" s="52">
        <v>15</v>
      </c>
      <c r="L26" s="26">
        <v>180</v>
      </c>
      <c r="M26" s="52">
        <v>15</v>
      </c>
      <c r="N26" s="26">
        <v>172</v>
      </c>
      <c r="O26" s="52">
        <v>28</v>
      </c>
      <c r="P26" s="26">
        <v>195</v>
      </c>
      <c r="Q26" s="52">
        <v>31</v>
      </c>
    </row>
    <row r="27" spans="1:17" ht="19.5" thickBot="1" x14ac:dyDescent="0.2">
      <c r="A27" s="123"/>
      <c r="B27" s="99"/>
      <c r="C27" s="119"/>
      <c r="D27" s="19"/>
      <c r="E27" s="53">
        <f>E26/D26</f>
        <v>0.35</v>
      </c>
      <c r="F27" s="47">
        <f>F26/D26</f>
        <v>1.25</v>
      </c>
      <c r="G27" s="53">
        <f>G26/F26</f>
        <v>0.28000000000000003</v>
      </c>
      <c r="H27" s="47">
        <f>H26/F26</f>
        <v>1.1399999999999999</v>
      </c>
      <c r="I27" s="53">
        <f>I26/H26</f>
        <v>0.16959064327485379</v>
      </c>
      <c r="J27" s="47">
        <f>J26/H26</f>
        <v>0.95321637426900585</v>
      </c>
      <c r="K27" s="53">
        <f>K26/J26</f>
        <v>9.202453987730061E-2</v>
      </c>
      <c r="L27" s="47">
        <f>L26/J26</f>
        <v>1.1042944785276074</v>
      </c>
      <c r="M27" s="53">
        <f>M26/L26</f>
        <v>8.3333333333333329E-2</v>
      </c>
      <c r="N27" s="47">
        <f>N26/L26</f>
        <v>0.9555555555555556</v>
      </c>
      <c r="O27" s="53">
        <f>O26/N26</f>
        <v>0.16279069767441862</v>
      </c>
      <c r="P27" s="47">
        <f>P26/N26</f>
        <v>1.1337209302325582</v>
      </c>
      <c r="Q27" s="53">
        <f>Q26/P26</f>
        <v>0.15897435897435896</v>
      </c>
    </row>
    <row r="28" spans="1:17" ht="22.5" x14ac:dyDescent="0.15">
      <c r="A28" s="123"/>
      <c r="B28" s="98" t="s">
        <v>165</v>
      </c>
      <c r="C28" s="118" t="s">
        <v>21</v>
      </c>
      <c r="D28" s="26">
        <v>85</v>
      </c>
      <c r="E28" s="52">
        <v>1</v>
      </c>
      <c r="F28" s="26">
        <v>66</v>
      </c>
      <c r="G28" s="52">
        <v>1</v>
      </c>
      <c r="H28" s="26">
        <v>44</v>
      </c>
      <c r="I28" s="52">
        <v>1</v>
      </c>
      <c r="J28" s="26">
        <v>43</v>
      </c>
      <c r="K28" s="52">
        <v>0</v>
      </c>
      <c r="L28" s="26">
        <v>43</v>
      </c>
      <c r="M28" s="52">
        <v>0</v>
      </c>
      <c r="N28" s="26">
        <v>32</v>
      </c>
      <c r="O28" s="52">
        <v>1</v>
      </c>
      <c r="P28" s="26">
        <v>42</v>
      </c>
      <c r="Q28" s="52">
        <v>1</v>
      </c>
    </row>
    <row r="29" spans="1:17" ht="19.5" thickBot="1" x14ac:dyDescent="0.2">
      <c r="A29" s="123"/>
      <c r="B29" s="99"/>
      <c r="C29" s="119"/>
      <c r="D29" s="19"/>
      <c r="E29" s="53">
        <f>E28/D28</f>
        <v>1.1764705882352941E-2</v>
      </c>
      <c r="F29" s="47">
        <f>F28/D28</f>
        <v>0.77647058823529413</v>
      </c>
      <c r="G29" s="53">
        <f>G28/F28</f>
        <v>1.5151515151515152E-2</v>
      </c>
      <c r="H29" s="47">
        <f>H28/F28</f>
        <v>0.66666666666666663</v>
      </c>
      <c r="I29" s="53">
        <f>I28/H28</f>
        <v>2.2727272727272728E-2</v>
      </c>
      <c r="J29" s="47">
        <f>J28/H28</f>
        <v>0.97727272727272729</v>
      </c>
      <c r="K29" s="53">
        <f>K28/J28</f>
        <v>0</v>
      </c>
      <c r="L29" s="47">
        <f>L28/J28</f>
        <v>1</v>
      </c>
      <c r="M29" s="53">
        <f>M28/L28</f>
        <v>0</v>
      </c>
      <c r="N29" s="47">
        <f>N28/L28</f>
        <v>0.7441860465116279</v>
      </c>
      <c r="O29" s="53">
        <f>O28/N28</f>
        <v>3.125E-2</v>
      </c>
      <c r="P29" s="47">
        <f>P28/N28</f>
        <v>1.3125</v>
      </c>
      <c r="Q29" s="53">
        <f>Q28/P28</f>
        <v>2.3809523809523808E-2</v>
      </c>
    </row>
    <row r="30" spans="1:17" ht="22.5" x14ac:dyDescent="0.15">
      <c r="A30" s="123"/>
      <c r="B30" s="98" t="s">
        <v>62</v>
      </c>
      <c r="C30" s="118" t="s">
        <v>21</v>
      </c>
      <c r="D30" s="26">
        <v>46</v>
      </c>
      <c r="E30" s="52">
        <v>0</v>
      </c>
      <c r="F30" s="26">
        <v>44</v>
      </c>
      <c r="G30" s="52">
        <v>0</v>
      </c>
      <c r="H30" s="26">
        <v>44</v>
      </c>
      <c r="I30" s="52">
        <v>0</v>
      </c>
      <c r="J30" s="26">
        <v>43</v>
      </c>
      <c r="K30" s="52">
        <v>0</v>
      </c>
      <c r="L30" s="26">
        <v>48</v>
      </c>
      <c r="M30" s="52">
        <v>0</v>
      </c>
      <c r="N30" s="26">
        <v>35</v>
      </c>
      <c r="O30" s="52">
        <v>1</v>
      </c>
      <c r="P30" s="26">
        <v>30</v>
      </c>
      <c r="Q30" s="52">
        <v>1</v>
      </c>
    </row>
    <row r="31" spans="1:17" ht="19.5" thickBot="1" x14ac:dyDescent="0.2">
      <c r="A31" s="123"/>
      <c r="B31" s="99"/>
      <c r="C31" s="119"/>
      <c r="D31" s="19"/>
      <c r="E31" s="53">
        <f>E30/D30</f>
        <v>0</v>
      </c>
      <c r="F31" s="47">
        <f>F30/D30</f>
        <v>0.95652173913043481</v>
      </c>
      <c r="G31" s="53">
        <f>G30/F30</f>
        <v>0</v>
      </c>
      <c r="H31" s="47">
        <f>H30/F30</f>
        <v>1</v>
      </c>
      <c r="I31" s="53">
        <f>I30/H30</f>
        <v>0</v>
      </c>
      <c r="J31" s="47">
        <f>J30/H30</f>
        <v>0.97727272727272729</v>
      </c>
      <c r="K31" s="53">
        <f>K30/J30</f>
        <v>0</v>
      </c>
      <c r="L31" s="47">
        <f>L30/J30</f>
        <v>1.1162790697674418</v>
      </c>
      <c r="M31" s="53">
        <f>M30/L30</f>
        <v>0</v>
      </c>
      <c r="N31" s="47">
        <f>N30/L30</f>
        <v>0.72916666666666663</v>
      </c>
      <c r="O31" s="53">
        <f>O30/N30</f>
        <v>2.8571428571428571E-2</v>
      </c>
      <c r="P31" s="47">
        <f>P30/N30</f>
        <v>0.8571428571428571</v>
      </c>
      <c r="Q31" s="53">
        <f>Q30/P30</f>
        <v>3.3333333333333333E-2</v>
      </c>
    </row>
    <row r="32" spans="1:17" ht="22.5" x14ac:dyDescent="0.15">
      <c r="A32" s="123"/>
      <c r="B32" s="98" t="s">
        <v>65</v>
      </c>
      <c r="C32" s="118" t="s">
        <v>21</v>
      </c>
      <c r="D32" s="26">
        <v>67</v>
      </c>
      <c r="E32" s="52">
        <v>1</v>
      </c>
      <c r="F32" s="26">
        <v>61</v>
      </c>
      <c r="G32" s="52">
        <v>1</v>
      </c>
      <c r="H32" s="26">
        <v>45</v>
      </c>
      <c r="I32" s="52">
        <v>0</v>
      </c>
      <c r="J32" s="26">
        <v>48</v>
      </c>
      <c r="K32" s="52">
        <v>0</v>
      </c>
      <c r="L32" s="26">
        <v>62</v>
      </c>
      <c r="M32" s="52">
        <v>1</v>
      </c>
      <c r="N32" s="26">
        <v>51</v>
      </c>
      <c r="O32" s="52">
        <v>0</v>
      </c>
      <c r="P32" s="26">
        <v>42</v>
      </c>
      <c r="Q32" s="52">
        <v>0</v>
      </c>
    </row>
    <row r="33" spans="1:17" ht="19.5" thickBot="1" x14ac:dyDescent="0.2">
      <c r="A33" s="123"/>
      <c r="B33" s="99"/>
      <c r="C33" s="119"/>
      <c r="D33" s="19"/>
      <c r="E33" s="53">
        <f>E32/D32</f>
        <v>1.4925373134328358E-2</v>
      </c>
      <c r="F33" s="47">
        <f>F32/D32</f>
        <v>0.91044776119402981</v>
      </c>
      <c r="G33" s="53">
        <f>G32/F32</f>
        <v>1.6393442622950821E-2</v>
      </c>
      <c r="H33" s="47">
        <f>H32/F32</f>
        <v>0.73770491803278693</v>
      </c>
      <c r="I33" s="53">
        <f>I32/H32</f>
        <v>0</v>
      </c>
      <c r="J33" s="47">
        <f>J32/H32</f>
        <v>1.0666666666666667</v>
      </c>
      <c r="K33" s="53">
        <f>K32/J32</f>
        <v>0</v>
      </c>
      <c r="L33" s="47">
        <f>L32/J32</f>
        <v>1.2916666666666667</v>
      </c>
      <c r="M33" s="53">
        <f>M32/L32</f>
        <v>1.6129032258064516E-2</v>
      </c>
      <c r="N33" s="47">
        <f>N32/L32</f>
        <v>0.82258064516129037</v>
      </c>
      <c r="O33" s="53">
        <f>O32/N32</f>
        <v>0</v>
      </c>
      <c r="P33" s="47">
        <f>P32/N32</f>
        <v>0.82352941176470584</v>
      </c>
      <c r="Q33" s="53">
        <f>Q32/P32</f>
        <v>0</v>
      </c>
    </row>
    <row r="34" spans="1:17" ht="22.5" x14ac:dyDescent="0.15">
      <c r="A34" s="98" t="s">
        <v>4</v>
      </c>
      <c r="B34" s="108" t="s">
        <v>44</v>
      </c>
      <c r="C34" s="118" t="s">
        <v>21</v>
      </c>
      <c r="D34" s="23"/>
      <c r="E34" s="7"/>
      <c r="F34" s="26">
        <v>478</v>
      </c>
      <c r="G34" s="52">
        <v>77</v>
      </c>
      <c r="H34" s="26">
        <v>397</v>
      </c>
      <c r="I34" s="52">
        <v>41</v>
      </c>
      <c r="J34" s="26">
        <v>365</v>
      </c>
      <c r="K34" s="52">
        <v>47</v>
      </c>
      <c r="L34" s="26">
        <v>331</v>
      </c>
      <c r="M34" s="52">
        <v>44</v>
      </c>
      <c r="N34" s="26">
        <v>317</v>
      </c>
      <c r="O34" s="52">
        <v>40</v>
      </c>
      <c r="P34" s="26">
        <v>345</v>
      </c>
      <c r="Q34" s="52">
        <v>50</v>
      </c>
    </row>
    <row r="35" spans="1:17" ht="19.5" thickBot="1" x14ac:dyDescent="0.2">
      <c r="A35" s="144"/>
      <c r="B35" s="107"/>
      <c r="C35" s="119"/>
      <c r="D35" s="100"/>
      <c r="E35" s="97"/>
      <c r="F35" s="19"/>
      <c r="G35" s="53">
        <f>G34/F34</f>
        <v>0.16108786610878661</v>
      </c>
      <c r="H35" s="47">
        <f>H34/F34</f>
        <v>0.83054393305439334</v>
      </c>
      <c r="I35" s="53">
        <f>I34/H34</f>
        <v>0.10327455919395466</v>
      </c>
      <c r="J35" s="47">
        <f>J34/H34</f>
        <v>0.91939546599496225</v>
      </c>
      <c r="K35" s="53">
        <f>K34/J34</f>
        <v>0.12876712328767123</v>
      </c>
      <c r="L35" s="47">
        <f>L34/J34</f>
        <v>0.9068493150684932</v>
      </c>
      <c r="M35" s="53">
        <f>M34/L34</f>
        <v>0.13293051359516617</v>
      </c>
      <c r="N35" s="47">
        <f>N34/L34</f>
        <v>0.95770392749244715</v>
      </c>
      <c r="O35" s="53">
        <f>O34/N34</f>
        <v>0.12618296529968454</v>
      </c>
      <c r="P35" s="47">
        <f>P34/N34</f>
        <v>1.0883280757097791</v>
      </c>
      <c r="Q35" s="53">
        <f>Q34/P34</f>
        <v>0.14492753623188406</v>
      </c>
    </row>
    <row r="36" spans="1:17" ht="19.5" customHeight="1" x14ac:dyDescent="0.15">
      <c r="A36" s="144"/>
      <c r="B36" s="108" t="s">
        <v>166</v>
      </c>
      <c r="C36" s="118" t="s">
        <v>21</v>
      </c>
      <c r="D36" s="23"/>
      <c r="E36" s="7"/>
      <c r="F36" s="26">
        <v>22</v>
      </c>
      <c r="G36" s="52">
        <v>2</v>
      </c>
      <c r="H36" s="26">
        <v>35</v>
      </c>
      <c r="I36" s="52">
        <v>2</v>
      </c>
      <c r="J36" s="26">
        <v>32</v>
      </c>
      <c r="K36" s="52">
        <v>1</v>
      </c>
      <c r="L36" s="26">
        <v>23</v>
      </c>
      <c r="M36" s="52">
        <v>2</v>
      </c>
      <c r="N36" s="26">
        <v>35</v>
      </c>
      <c r="O36" s="52">
        <v>7</v>
      </c>
      <c r="P36" s="26">
        <v>30</v>
      </c>
      <c r="Q36" s="52">
        <v>8</v>
      </c>
    </row>
    <row r="37" spans="1:17" ht="19.5" thickBot="1" x14ac:dyDescent="0.2">
      <c r="A37" s="144"/>
      <c r="B37" s="107"/>
      <c r="C37" s="119"/>
      <c r="D37" s="100"/>
      <c r="E37" s="97"/>
      <c r="F37" s="19"/>
      <c r="G37" s="53">
        <f>G36/F36</f>
        <v>9.0909090909090912E-2</v>
      </c>
      <c r="H37" s="47">
        <f>H36/F36</f>
        <v>1.5909090909090908</v>
      </c>
      <c r="I37" s="53">
        <f>I36/H36</f>
        <v>5.7142857142857141E-2</v>
      </c>
      <c r="J37" s="47">
        <f>J36/H36</f>
        <v>0.91428571428571426</v>
      </c>
      <c r="K37" s="53">
        <f>K36/J36</f>
        <v>3.125E-2</v>
      </c>
      <c r="L37" s="47">
        <f>L36/J36</f>
        <v>0.71875</v>
      </c>
      <c r="M37" s="53">
        <f>M36/L36</f>
        <v>8.6956521739130432E-2</v>
      </c>
      <c r="N37" s="47">
        <f>N36/L36</f>
        <v>1.5217391304347827</v>
      </c>
      <c r="O37" s="53">
        <f>O36/N36</f>
        <v>0.2</v>
      </c>
      <c r="P37" s="47">
        <f>P36/N36</f>
        <v>0.8571428571428571</v>
      </c>
      <c r="Q37" s="53">
        <f>Q36/P36</f>
        <v>0.26666666666666666</v>
      </c>
    </row>
    <row r="38" spans="1:17" ht="19.5" customHeight="1" x14ac:dyDescent="0.15">
      <c r="A38" s="104" t="s">
        <v>169</v>
      </c>
      <c r="B38" s="104" t="s">
        <v>168</v>
      </c>
      <c r="C38" s="118" t="s">
        <v>21</v>
      </c>
      <c r="D38" s="26">
        <v>112</v>
      </c>
      <c r="E38" s="52">
        <v>0</v>
      </c>
      <c r="F38" s="26">
        <v>108</v>
      </c>
      <c r="G38" s="52">
        <v>2</v>
      </c>
      <c r="H38" s="26">
        <v>135</v>
      </c>
      <c r="I38" s="52">
        <v>2</v>
      </c>
      <c r="J38" s="26">
        <v>161</v>
      </c>
      <c r="K38" s="52">
        <v>2</v>
      </c>
      <c r="L38" s="26">
        <v>141</v>
      </c>
      <c r="M38" s="52">
        <v>1</v>
      </c>
      <c r="N38" s="26">
        <v>132</v>
      </c>
      <c r="O38" s="52">
        <v>2</v>
      </c>
      <c r="P38" s="26">
        <v>110</v>
      </c>
      <c r="Q38" s="52">
        <v>1</v>
      </c>
    </row>
    <row r="39" spans="1:17" ht="19.5" customHeight="1" thickBot="1" x14ac:dyDescent="0.2">
      <c r="A39" s="144"/>
      <c r="B39" s="105"/>
      <c r="C39" s="119"/>
      <c r="D39" s="19"/>
      <c r="E39" s="53">
        <f>E38/D38</f>
        <v>0</v>
      </c>
      <c r="F39" s="47">
        <f>F38/D38</f>
        <v>0.9642857142857143</v>
      </c>
      <c r="G39" s="53">
        <f>G38/F38</f>
        <v>1.8518518518518517E-2</v>
      </c>
      <c r="H39" s="47">
        <f>H38/F38</f>
        <v>1.25</v>
      </c>
      <c r="I39" s="53">
        <f>I38/H38</f>
        <v>1.4814814814814815E-2</v>
      </c>
      <c r="J39" s="47">
        <f>J38/H38</f>
        <v>1.1925925925925926</v>
      </c>
      <c r="K39" s="53">
        <f>K38/J38</f>
        <v>1.2422360248447204E-2</v>
      </c>
      <c r="L39" s="47">
        <f>L38/J38</f>
        <v>0.87577639751552794</v>
      </c>
      <c r="M39" s="53">
        <f>M38/L38</f>
        <v>7.0921985815602835E-3</v>
      </c>
      <c r="N39" s="47">
        <f>N38/L38</f>
        <v>0.93617021276595747</v>
      </c>
      <c r="O39" s="53">
        <f>O38/N38</f>
        <v>1.5151515151515152E-2</v>
      </c>
      <c r="P39" s="47">
        <f>P38/N38</f>
        <v>0.83333333333333337</v>
      </c>
      <c r="Q39" s="53">
        <f>Q38/P38</f>
        <v>9.0909090909090905E-3</v>
      </c>
    </row>
    <row r="40" spans="1:17" ht="19.5" customHeight="1" x14ac:dyDescent="0.15">
      <c r="A40" s="144"/>
      <c r="B40" s="104" t="s">
        <v>163</v>
      </c>
      <c r="C40" s="118" t="s">
        <v>21</v>
      </c>
      <c r="D40" s="26">
        <v>96</v>
      </c>
      <c r="E40" s="52">
        <v>10</v>
      </c>
      <c r="F40" s="26">
        <v>106</v>
      </c>
      <c r="G40" s="52">
        <v>12</v>
      </c>
      <c r="H40" s="26">
        <v>104</v>
      </c>
      <c r="I40" s="52">
        <v>6</v>
      </c>
      <c r="J40" s="26">
        <v>81</v>
      </c>
      <c r="K40" s="52">
        <v>4</v>
      </c>
      <c r="L40" s="26">
        <v>78</v>
      </c>
      <c r="M40" s="52">
        <v>4</v>
      </c>
      <c r="N40" s="26">
        <v>43</v>
      </c>
      <c r="O40" s="52">
        <v>4</v>
      </c>
      <c r="P40" s="26">
        <v>34</v>
      </c>
      <c r="Q40" s="52">
        <v>3</v>
      </c>
    </row>
    <row r="41" spans="1:17" ht="19.5" customHeight="1" thickBot="1" x14ac:dyDescent="0.2">
      <c r="A41" s="144"/>
      <c r="B41" s="105"/>
      <c r="C41" s="119"/>
      <c r="D41" s="19"/>
      <c r="E41" s="53">
        <f>E40/D40</f>
        <v>0.10416666666666667</v>
      </c>
      <c r="F41" s="47">
        <f>F40/D40</f>
        <v>1.1041666666666667</v>
      </c>
      <c r="G41" s="53">
        <f>G40/F40</f>
        <v>0.11320754716981132</v>
      </c>
      <c r="H41" s="47">
        <f>H40/F40</f>
        <v>0.98113207547169812</v>
      </c>
      <c r="I41" s="53">
        <f>I40/H40</f>
        <v>5.7692307692307696E-2</v>
      </c>
      <c r="J41" s="47">
        <f>J40/H40</f>
        <v>0.77884615384615385</v>
      </c>
      <c r="K41" s="53">
        <f>K40/J40</f>
        <v>4.9382716049382713E-2</v>
      </c>
      <c r="L41" s="47">
        <f>L40/J40</f>
        <v>0.96296296296296291</v>
      </c>
      <c r="M41" s="53">
        <f>M40/L40</f>
        <v>5.128205128205128E-2</v>
      </c>
      <c r="N41" s="47">
        <f>N40/L40</f>
        <v>0.55128205128205132</v>
      </c>
      <c r="O41" s="53">
        <f>O40/N40</f>
        <v>9.3023255813953487E-2</v>
      </c>
      <c r="P41" s="47">
        <f>P40/N40</f>
        <v>0.79069767441860461</v>
      </c>
      <c r="Q41" s="53">
        <f>Q40/P40</f>
        <v>8.8235294117647065E-2</v>
      </c>
    </row>
    <row r="42" spans="1:17" ht="22.5" x14ac:dyDescent="0.15">
      <c r="A42" s="98" t="s">
        <v>13</v>
      </c>
      <c r="B42" s="104" t="s">
        <v>176</v>
      </c>
      <c r="C42" s="118" t="s">
        <v>21</v>
      </c>
      <c r="D42" s="26">
        <v>134</v>
      </c>
      <c r="E42" s="52">
        <v>9</v>
      </c>
      <c r="F42" s="23"/>
      <c r="G42" s="7"/>
      <c r="H42" s="23"/>
      <c r="I42" s="7"/>
      <c r="J42" s="26">
        <v>138</v>
      </c>
      <c r="K42" s="52">
        <v>14</v>
      </c>
      <c r="L42" s="26">
        <v>128</v>
      </c>
      <c r="M42" s="52">
        <v>16</v>
      </c>
      <c r="N42" s="23"/>
      <c r="O42" s="7"/>
      <c r="P42" s="26">
        <v>136</v>
      </c>
      <c r="Q42" s="52">
        <v>10</v>
      </c>
    </row>
    <row r="43" spans="1:17" ht="19.5" customHeight="1" thickBot="1" x14ac:dyDescent="0.2">
      <c r="A43" s="144"/>
      <c r="B43" s="105"/>
      <c r="C43" s="119"/>
      <c r="D43" s="19"/>
      <c r="E43" s="53">
        <f>E42/D42</f>
        <v>6.7164179104477612E-2</v>
      </c>
      <c r="F43" s="102"/>
      <c r="G43" s="103"/>
      <c r="H43" s="102"/>
      <c r="I43" s="103"/>
      <c r="J43" s="19"/>
      <c r="K43" s="53">
        <f>K42/J42</f>
        <v>0.10144927536231885</v>
      </c>
      <c r="L43" s="47">
        <f>L42/J42</f>
        <v>0.92753623188405798</v>
      </c>
      <c r="M43" s="53">
        <f>M42/L42</f>
        <v>0.125</v>
      </c>
      <c r="N43" s="102"/>
      <c r="O43" s="103"/>
      <c r="P43" s="47">
        <f>P42/L42</f>
        <v>1.0625</v>
      </c>
      <c r="Q43" s="53">
        <f>Q42/P42</f>
        <v>7.3529411764705885E-2</v>
      </c>
    </row>
    <row r="44" spans="1:17" ht="19.5" customHeight="1" x14ac:dyDescent="0.15">
      <c r="A44" s="144"/>
      <c r="B44" s="104" t="s">
        <v>61</v>
      </c>
      <c r="C44" s="118" t="s">
        <v>21</v>
      </c>
      <c r="D44" s="26">
        <v>44</v>
      </c>
      <c r="E44" s="52">
        <v>4</v>
      </c>
      <c r="F44" s="23"/>
      <c r="G44" s="7"/>
      <c r="H44" s="23"/>
      <c r="I44" s="7"/>
      <c r="J44" s="26">
        <v>22</v>
      </c>
      <c r="K44" s="52">
        <v>1</v>
      </c>
      <c r="L44" s="26">
        <v>20</v>
      </c>
      <c r="M44" s="52">
        <v>2</v>
      </c>
      <c r="N44" s="23"/>
      <c r="O44" s="7"/>
      <c r="P44" s="26">
        <v>27</v>
      </c>
      <c r="Q44" s="52">
        <v>1</v>
      </c>
    </row>
    <row r="45" spans="1:17" ht="19.5" customHeight="1" thickBot="1" x14ac:dyDescent="0.2">
      <c r="A45" s="144"/>
      <c r="B45" s="105"/>
      <c r="C45" s="119"/>
      <c r="D45" s="19"/>
      <c r="E45" s="53">
        <f>E44/D44</f>
        <v>9.0909090909090912E-2</v>
      </c>
      <c r="F45" s="102"/>
      <c r="G45" s="103"/>
      <c r="H45" s="102"/>
      <c r="I45" s="103"/>
      <c r="J45" s="19"/>
      <c r="K45" s="53">
        <f>K44/J44</f>
        <v>4.5454545454545456E-2</v>
      </c>
      <c r="L45" s="47">
        <f>L44/J44</f>
        <v>0.90909090909090906</v>
      </c>
      <c r="M45" s="53">
        <f>M44/L44</f>
        <v>0.1</v>
      </c>
      <c r="N45" s="102"/>
      <c r="O45" s="103"/>
      <c r="P45" s="47">
        <f>P44/L44</f>
        <v>1.35</v>
      </c>
      <c r="Q45" s="53">
        <f>Q44/P44</f>
        <v>3.7037037037037035E-2</v>
      </c>
    </row>
    <row r="46" spans="1:17" ht="19.5" customHeight="1" x14ac:dyDescent="0.15">
      <c r="A46" s="144"/>
      <c r="B46" s="98" t="s">
        <v>62</v>
      </c>
      <c r="C46" s="118" t="s">
        <v>21</v>
      </c>
      <c r="D46" s="26">
        <v>99</v>
      </c>
      <c r="E46" s="52">
        <v>6</v>
      </c>
      <c r="F46" s="23"/>
      <c r="G46" s="7"/>
      <c r="H46" s="23"/>
      <c r="I46" s="7"/>
      <c r="J46" s="26">
        <v>43</v>
      </c>
      <c r="K46" s="52">
        <v>0</v>
      </c>
      <c r="L46" s="26">
        <v>44</v>
      </c>
      <c r="M46" s="52">
        <v>3</v>
      </c>
      <c r="N46" s="23"/>
      <c r="O46" s="7"/>
      <c r="P46" s="26">
        <v>52</v>
      </c>
      <c r="Q46" s="52">
        <v>2</v>
      </c>
    </row>
    <row r="47" spans="1:17" ht="19.5" customHeight="1" thickBot="1" x14ac:dyDescent="0.2">
      <c r="A47" s="144"/>
      <c r="B47" s="99"/>
      <c r="C47" s="119"/>
      <c r="D47" s="19"/>
      <c r="E47" s="53">
        <f>E46/D46</f>
        <v>6.0606060606060608E-2</v>
      </c>
      <c r="F47" s="102"/>
      <c r="G47" s="103"/>
      <c r="H47" s="102"/>
      <c r="I47" s="103"/>
      <c r="J47" s="19"/>
      <c r="K47" s="53">
        <f>K46/J46</f>
        <v>0</v>
      </c>
      <c r="L47" s="47">
        <f>L46/J46</f>
        <v>1.0232558139534884</v>
      </c>
      <c r="M47" s="53">
        <f>M46/L46</f>
        <v>6.8181818181818177E-2</v>
      </c>
      <c r="N47" s="102"/>
      <c r="O47" s="103"/>
      <c r="P47" s="47">
        <f>P46/L46</f>
        <v>1.1818181818181819</v>
      </c>
      <c r="Q47" s="53">
        <f>Q46/P46</f>
        <v>3.8461538461538464E-2</v>
      </c>
    </row>
    <row r="48" spans="1:17" ht="22.5" x14ac:dyDescent="0.15">
      <c r="A48" s="98" t="s">
        <v>3</v>
      </c>
      <c r="B48" s="104" t="s">
        <v>17</v>
      </c>
      <c r="C48" s="118" t="s">
        <v>14</v>
      </c>
      <c r="D48" s="26">
        <v>128</v>
      </c>
      <c r="E48" s="52">
        <v>16</v>
      </c>
      <c r="F48" s="26">
        <v>148</v>
      </c>
      <c r="G48" s="52">
        <v>20</v>
      </c>
      <c r="H48" s="26">
        <v>173</v>
      </c>
      <c r="I48" s="52">
        <v>13</v>
      </c>
      <c r="J48" s="26">
        <v>207</v>
      </c>
      <c r="K48" s="52">
        <v>12</v>
      </c>
      <c r="L48" s="26">
        <v>234</v>
      </c>
      <c r="M48" s="52">
        <v>6</v>
      </c>
      <c r="N48" s="26">
        <v>229</v>
      </c>
      <c r="O48" s="52">
        <v>6</v>
      </c>
      <c r="P48" s="26">
        <v>209</v>
      </c>
      <c r="Q48" s="52">
        <v>10</v>
      </c>
    </row>
    <row r="49" spans="1:17" ht="19.5" customHeight="1" thickBot="1" x14ac:dyDescent="0.2">
      <c r="A49" s="144"/>
      <c r="B49" s="105"/>
      <c r="C49" s="119"/>
      <c r="D49" s="19"/>
      <c r="E49" s="53">
        <f>E48/D48</f>
        <v>0.125</v>
      </c>
      <c r="F49" s="47">
        <f>F48/D48</f>
        <v>1.15625</v>
      </c>
      <c r="G49" s="53">
        <f>G48/F48</f>
        <v>0.13513513513513514</v>
      </c>
      <c r="H49" s="47">
        <f>H48/F48</f>
        <v>1.1689189189189189</v>
      </c>
      <c r="I49" s="53">
        <f>I48/H48</f>
        <v>7.5144508670520235E-2</v>
      </c>
      <c r="J49" s="47">
        <f>J48/H48</f>
        <v>1.1965317919075145</v>
      </c>
      <c r="K49" s="53">
        <f>K48/J48</f>
        <v>5.7971014492753624E-2</v>
      </c>
      <c r="L49" s="47">
        <f>L48/J48</f>
        <v>1.1304347826086956</v>
      </c>
      <c r="M49" s="53">
        <f>M48/L48</f>
        <v>2.564102564102564E-2</v>
      </c>
      <c r="N49" s="47">
        <f>N48/L48</f>
        <v>0.9786324786324786</v>
      </c>
      <c r="O49" s="53">
        <f>O48/N48</f>
        <v>2.6200873362445413E-2</v>
      </c>
      <c r="P49" s="47">
        <f>P48/N48</f>
        <v>0.9126637554585153</v>
      </c>
      <c r="Q49" s="53">
        <f>Q48/P48</f>
        <v>4.784688995215311E-2</v>
      </c>
    </row>
    <row r="50" spans="1:17" ht="22.5" x14ac:dyDescent="0.15">
      <c r="A50" s="144"/>
      <c r="B50" s="104" t="s">
        <v>17</v>
      </c>
      <c r="C50" s="118" t="s">
        <v>21</v>
      </c>
      <c r="D50" s="26">
        <v>51</v>
      </c>
      <c r="E50" s="52">
        <v>10</v>
      </c>
      <c r="F50" s="26">
        <v>42</v>
      </c>
      <c r="G50" s="52">
        <v>5</v>
      </c>
      <c r="H50" s="26">
        <v>45</v>
      </c>
      <c r="I50" s="52">
        <v>6</v>
      </c>
      <c r="J50" s="26">
        <v>41</v>
      </c>
      <c r="K50" s="52">
        <v>8</v>
      </c>
      <c r="L50" s="26">
        <v>39</v>
      </c>
      <c r="M50" s="52">
        <v>5</v>
      </c>
      <c r="N50" s="26">
        <v>53</v>
      </c>
      <c r="O50" s="52">
        <v>7</v>
      </c>
      <c r="P50" s="26">
        <v>54</v>
      </c>
      <c r="Q50" s="52">
        <v>10</v>
      </c>
    </row>
    <row r="51" spans="1:17" ht="19.5" customHeight="1" thickBot="1" x14ac:dyDescent="0.2">
      <c r="A51" s="99"/>
      <c r="B51" s="105"/>
      <c r="C51" s="119"/>
      <c r="D51" s="19"/>
      <c r="E51" s="53">
        <f>E50/D50</f>
        <v>0.19607843137254902</v>
      </c>
      <c r="F51" s="47">
        <f>F50/D50</f>
        <v>0.82352941176470584</v>
      </c>
      <c r="G51" s="53">
        <f>G50/F50</f>
        <v>0.11904761904761904</v>
      </c>
      <c r="H51" s="47">
        <f>H50/F50</f>
        <v>1.0714285714285714</v>
      </c>
      <c r="I51" s="53">
        <f>I50/H50</f>
        <v>0.13333333333333333</v>
      </c>
      <c r="J51" s="47">
        <f>J50/H50</f>
        <v>0.91111111111111109</v>
      </c>
      <c r="K51" s="53">
        <f>K50/J50</f>
        <v>0.1951219512195122</v>
      </c>
      <c r="L51" s="47">
        <f>L50/J50</f>
        <v>0.95121951219512191</v>
      </c>
      <c r="M51" s="53">
        <f>M50/L50</f>
        <v>0.12820512820512819</v>
      </c>
      <c r="N51" s="47">
        <f>N50/L50</f>
        <v>1.358974358974359</v>
      </c>
      <c r="O51" s="53">
        <f>O50/N50</f>
        <v>0.13207547169811321</v>
      </c>
      <c r="P51" s="47">
        <f>P50/N50</f>
        <v>1.0188679245283019</v>
      </c>
      <c r="Q51" s="53">
        <f>Q50/P50</f>
        <v>0.18518518518518517</v>
      </c>
    </row>
    <row r="52" spans="1:17" ht="22.5" x14ac:dyDescent="0.15">
      <c r="A52" s="98" t="s">
        <v>170</v>
      </c>
      <c r="B52" s="104" t="s">
        <v>171</v>
      </c>
      <c r="C52" s="118" t="s">
        <v>21</v>
      </c>
      <c r="D52" s="23"/>
      <c r="E52" s="7"/>
      <c r="F52" s="26">
        <v>401</v>
      </c>
      <c r="G52" s="52">
        <v>20</v>
      </c>
      <c r="H52" s="26">
        <v>331</v>
      </c>
      <c r="I52" s="52">
        <v>11</v>
      </c>
      <c r="J52" s="26">
        <v>255</v>
      </c>
      <c r="K52" s="52">
        <v>15</v>
      </c>
      <c r="L52" s="26">
        <v>258</v>
      </c>
      <c r="M52" s="52">
        <v>24</v>
      </c>
      <c r="N52" s="26">
        <v>254</v>
      </c>
      <c r="O52" s="52">
        <v>39</v>
      </c>
      <c r="P52" s="26">
        <v>211</v>
      </c>
      <c r="Q52" s="52">
        <v>42</v>
      </c>
    </row>
    <row r="53" spans="1:17" ht="19.5" customHeight="1" thickBot="1" x14ac:dyDescent="0.2">
      <c r="A53" s="144"/>
      <c r="B53" s="105"/>
      <c r="C53" s="119"/>
      <c r="D53" s="102"/>
      <c r="E53" s="103"/>
      <c r="F53" s="19"/>
      <c r="G53" s="53">
        <f>G52/F52</f>
        <v>4.9875311720698257E-2</v>
      </c>
      <c r="H53" s="47">
        <f>H52/F52</f>
        <v>0.8254364089775561</v>
      </c>
      <c r="I53" s="53">
        <f>I52/H52</f>
        <v>3.3232628398791542E-2</v>
      </c>
      <c r="J53" s="47">
        <f>J52/H52</f>
        <v>0.77039274924471302</v>
      </c>
      <c r="K53" s="53">
        <f>K52/J52</f>
        <v>5.8823529411764705E-2</v>
      </c>
      <c r="L53" s="47">
        <f>L52/J52</f>
        <v>1.0117647058823529</v>
      </c>
      <c r="M53" s="53">
        <f>M52/L52</f>
        <v>9.3023255813953487E-2</v>
      </c>
      <c r="N53" s="47">
        <f>N52/L52</f>
        <v>0.98449612403100772</v>
      </c>
      <c r="O53" s="53">
        <f>O52/N52</f>
        <v>0.15354330708661418</v>
      </c>
      <c r="P53" s="47">
        <f>P52/N52</f>
        <v>0.8307086614173228</v>
      </c>
      <c r="Q53" s="53">
        <f>Q52/P52</f>
        <v>0.1990521327014218</v>
      </c>
    </row>
    <row r="54" spans="1:17" ht="22.5" x14ac:dyDescent="0.15">
      <c r="A54" s="144"/>
      <c r="B54" s="104" t="s">
        <v>159</v>
      </c>
      <c r="C54" s="118" t="s">
        <v>21</v>
      </c>
      <c r="D54" s="23"/>
      <c r="E54" s="7"/>
      <c r="F54" s="26">
        <v>26</v>
      </c>
      <c r="G54" s="52">
        <v>0</v>
      </c>
      <c r="H54" s="26">
        <v>25</v>
      </c>
      <c r="I54" s="52">
        <v>0</v>
      </c>
      <c r="J54" s="26">
        <v>21</v>
      </c>
      <c r="K54" s="52">
        <v>2</v>
      </c>
      <c r="L54" s="26">
        <v>19</v>
      </c>
      <c r="M54" s="52">
        <v>2</v>
      </c>
      <c r="N54" s="26">
        <v>17</v>
      </c>
      <c r="O54" s="52">
        <v>0</v>
      </c>
      <c r="P54" s="26">
        <v>18</v>
      </c>
      <c r="Q54" s="52">
        <v>1</v>
      </c>
    </row>
    <row r="55" spans="1:17" ht="19.5" customHeight="1" thickBot="1" x14ac:dyDescent="0.2">
      <c r="A55" s="99"/>
      <c r="B55" s="105"/>
      <c r="C55" s="119"/>
      <c r="D55" s="102"/>
      <c r="E55" s="103"/>
      <c r="F55" s="19"/>
      <c r="G55" s="53">
        <f>G54/F54</f>
        <v>0</v>
      </c>
      <c r="H55" s="47">
        <f>H54/F54</f>
        <v>0.96153846153846156</v>
      </c>
      <c r="I55" s="53">
        <f>I54/H54</f>
        <v>0</v>
      </c>
      <c r="J55" s="47">
        <f>J54/H54</f>
        <v>0.84</v>
      </c>
      <c r="K55" s="53">
        <f>K54/J54</f>
        <v>9.5238095238095233E-2</v>
      </c>
      <c r="L55" s="47">
        <f>L54/J54</f>
        <v>0.90476190476190477</v>
      </c>
      <c r="M55" s="53">
        <f>M54/L54</f>
        <v>0.10526315789473684</v>
      </c>
      <c r="N55" s="47">
        <f>N54/L54</f>
        <v>0.89473684210526316</v>
      </c>
      <c r="O55" s="53">
        <f>O54/N54</f>
        <v>0</v>
      </c>
      <c r="P55" s="47">
        <f>P54/N54</f>
        <v>1.0588235294117647</v>
      </c>
      <c r="Q55" s="53">
        <f>Q54/P54</f>
        <v>5.5555555555555552E-2</v>
      </c>
    </row>
    <row r="56" spans="1:17" ht="19.5" customHeight="1" x14ac:dyDescent="0.15">
      <c r="A56" s="98" t="s">
        <v>9</v>
      </c>
      <c r="B56" s="104" t="s">
        <v>323</v>
      </c>
      <c r="C56" s="118" t="s">
        <v>38</v>
      </c>
      <c r="D56" s="26">
        <v>59</v>
      </c>
      <c r="E56" s="52">
        <v>23</v>
      </c>
      <c r="F56" s="26">
        <v>74</v>
      </c>
      <c r="G56" s="52">
        <v>34</v>
      </c>
      <c r="H56" s="26">
        <v>87</v>
      </c>
      <c r="I56" s="52">
        <v>28</v>
      </c>
      <c r="J56" s="26">
        <v>98</v>
      </c>
      <c r="K56" s="52">
        <v>21</v>
      </c>
      <c r="L56" s="26">
        <v>92</v>
      </c>
      <c r="M56" s="52">
        <v>17</v>
      </c>
      <c r="N56" s="27">
        <v>106</v>
      </c>
      <c r="O56" s="59">
        <v>18</v>
      </c>
      <c r="P56" s="28">
        <v>136</v>
      </c>
      <c r="Q56" s="62">
        <v>19</v>
      </c>
    </row>
    <row r="57" spans="1:17" ht="19.5" customHeight="1" thickBot="1" x14ac:dyDescent="0.2">
      <c r="A57" s="144"/>
      <c r="B57" s="105"/>
      <c r="C57" s="119"/>
      <c r="D57" s="19"/>
      <c r="E57" s="53">
        <f>E56/D56</f>
        <v>0.38983050847457629</v>
      </c>
      <c r="F57" s="47">
        <f>F56/D56</f>
        <v>1.2542372881355932</v>
      </c>
      <c r="G57" s="53">
        <f>G56/F56</f>
        <v>0.45945945945945948</v>
      </c>
      <c r="H57" s="47">
        <f>H56/F56</f>
        <v>1.1756756756756757</v>
      </c>
      <c r="I57" s="53">
        <f>I56/H56</f>
        <v>0.32183908045977011</v>
      </c>
      <c r="J57" s="47">
        <f>J56/H56</f>
        <v>1.1264367816091954</v>
      </c>
      <c r="K57" s="53">
        <f>K56/J56</f>
        <v>0.21428571428571427</v>
      </c>
      <c r="L57" s="47">
        <f>L56/J56</f>
        <v>0.93877551020408168</v>
      </c>
      <c r="M57" s="53">
        <f>M56/L56</f>
        <v>0.18478260869565216</v>
      </c>
      <c r="N57" s="47">
        <f>N56/L56</f>
        <v>1.1521739130434783</v>
      </c>
      <c r="O57" s="53">
        <f>O56/N56</f>
        <v>0.16981132075471697</v>
      </c>
      <c r="P57" s="47">
        <f>P56/N56</f>
        <v>1.2830188679245282</v>
      </c>
      <c r="Q57" s="53">
        <f>Q56/P56</f>
        <v>0.13970588235294118</v>
      </c>
    </row>
    <row r="58" spans="1:17" ht="22.5" x14ac:dyDescent="0.15">
      <c r="A58" s="144"/>
      <c r="B58" s="98" t="s">
        <v>65</v>
      </c>
      <c r="C58" s="118" t="s">
        <v>21</v>
      </c>
      <c r="D58" s="26">
        <v>82</v>
      </c>
      <c r="E58" s="52">
        <v>12</v>
      </c>
      <c r="F58" s="26">
        <v>73</v>
      </c>
      <c r="G58" s="52">
        <v>10</v>
      </c>
      <c r="H58" s="26">
        <v>85</v>
      </c>
      <c r="I58" s="52">
        <v>12</v>
      </c>
      <c r="J58" s="26">
        <v>88</v>
      </c>
      <c r="K58" s="52">
        <v>4</v>
      </c>
      <c r="L58" s="26">
        <v>88</v>
      </c>
      <c r="M58" s="52">
        <v>5</v>
      </c>
      <c r="N58" s="27">
        <v>86</v>
      </c>
      <c r="O58" s="59">
        <v>6</v>
      </c>
      <c r="P58" s="27">
        <v>83</v>
      </c>
      <c r="Q58" s="59">
        <v>7</v>
      </c>
    </row>
    <row r="59" spans="1:17" ht="19.5" customHeight="1" thickBot="1" x14ac:dyDescent="0.2">
      <c r="A59" s="99"/>
      <c r="B59" s="99"/>
      <c r="C59" s="119"/>
      <c r="D59" s="19"/>
      <c r="E59" s="53">
        <f>E58/D58</f>
        <v>0.14634146341463414</v>
      </c>
      <c r="F59" s="47">
        <f>F58/D58</f>
        <v>0.8902439024390244</v>
      </c>
      <c r="G59" s="53">
        <f>G58/F58</f>
        <v>0.13698630136986301</v>
      </c>
      <c r="H59" s="47">
        <f>H58/F58</f>
        <v>1.1643835616438356</v>
      </c>
      <c r="I59" s="53">
        <f>I58/H58</f>
        <v>0.14117647058823529</v>
      </c>
      <c r="J59" s="47">
        <f>J58/H58</f>
        <v>1.0352941176470589</v>
      </c>
      <c r="K59" s="53">
        <f>K58/J58</f>
        <v>4.5454545454545456E-2</v>
      </c>
      <c r="L59" s="47">
        <f>L58/J58</f>
        <v>1</v>
      </c>
      <c r="M59" s="53">
        <f>M58/L58</f>
        <v>5.6818181818181816E-2</v>
      </c>
      <c r="N59" s="47">
        <f>N58/L58</f>
        <v>0.97727272727272729</v>
      </c>
      <c r="O59" s="53">
        <f>O58/N58</f>
        <v>6.9767441860465115E-2</v>
      </c>
      <c r="P59" s="47">
        <f>P58/N58</f>
        <v>0.96511627906976749</v>
      </c>
      <c r="Q59" s="53">
        <f>Q58/P58</f>
        <v>8.4337349397590355E-2</v>
      </c>
    </row>
    <row r="60" spans="1:17" ht="22.5" x14ac:dyDescent="0.15">
      <c r="A60" s="98" t="s">
        <v>167</v>
      </c>
      <c r="B60" s="104" t="s">
        <v>44</v>
      </c>
      <c r="C60" s="118" t="s">
        <v>21</v>
      </c>
      <c r="D60" s="23"/>
      <c r="E60" s="7"/>
      <c r="F60" s="23"/>
      <c r="G60" s="7"/>
      <c r="H60" s="26">
        <v>192</v>
      </c>
      <c r="I60" s="52">
        <v>0</v>
      </c>
      <c r="J60" s="26">
        <v>204</v>
      </c>
      <c r="K60" s="52">
        <v>0</v>
      </c>
      <c r="L60" s="26">
        <v>208</v>
      </c>
      <c r="M60" s="52">
        <v>0</v>
      </c>
      <c r="N60" s="26">
        <v>190</v>
      </c>
      <c r="O60" s="52">
        <v>0</v>
      </c>
      <c r="P60" s="26">
        <v>152</v>
      </c>
      <c r="Q60" s="52">
        <v>1</v>
      </c>
    </row>
    <row r="61" spans="1:17" ht="19.5" customHeight="1" thickBot="1" x14ac:dyDescent="0.2">
      <c r="A61" s="99"/>
      <c r="B61" s="105"/>
      <c r="C61" s="119"/>
      <c r="D61" s="100"/>
      <c r="E61" s="97"/>
      <c r="F61" s="100"/>
      <c r="G61" s="97"/>
      <c r="H61" s="19"/>
      <c r="I61" s="53">
        <f>I60/H60</f>
        <v>0</v>
      </c>
      <c r="J61" s="47">
        <f>J60/H60</f>
        <v>1.0625</v>
      </c>
      <c r="K61" s="53">
        <f>K60/J60</f>
        <v>0</v>
      </c>
      <c r="L61" s="47">
        <f>L60/J60</f>
        <v>1.0196078431372548</v>
      </c>
      <c r="M61" s="53">
        <f>M60/L60</f>
        <v>0</v>
      </c>
      <c r="N61" s="47">
        <f>N60/L60</f>
        <v>0.91346153846153844</v>
      </c>
      <c r="O61" s="53">
        <f>O60/N60</f>
        <v>0</v>
      </c>
      <c r="P61" s="47">
        <f>P60/N60</f>
        <v>0.8</v>
      </c>
      <c r="Q61" s="53">
        <f>Q60/P60</f>
        <v>6.5789473684210523E-3</v>
      </c>
    </row>
    <row r="72" ht="19.5" customHeight="1" x14ac:dyDescent="0.15"/>
    <row r="78" ht="19.5" customHeight="1" x14ac:dyDescent="0.15"/>
    <row r="88" ht="19.5" customHeight="1" x14ac:dyDescent="0.15"/>
    <row r="92" ht="19.5" customHeight="1" x14ac:dyDescent="0.15"/>
    <row r="96" ht="18.75" customHeight="1" x14ac:dyDescent="0.15"/>
    <row r="98" ht="18.75" customHeight="1" x14ac:dyDescent="0.15"/>
    <row r="100" ht="18.75" customHeight="1" x14ac:dyDescent="0.15"/>
    <row r="102" ht="19.5" customHeight="1" x14ac:dyDescent="0.15"/>
    <row r="104" ht="18.75" customHeight="1" x14ac:dyDescent="0.15"/>
    <row r="106" ht="18.75" customHeight="1" x14ac:dyDescent="0.15"/>
    <row r="108" ht="18.75" customHeight="1" x14ac:dyDescent="0.15"/>
    <row r="110" ht="18.75" customHeight="1" x14ac:dyDescent="0.15"/>
    <row r="112" ht="18.75" customHeight="1" x14ac:dyDescent="0.15"/>
    <row r="114" ht="18.75" customHeight="1" x14ac:dyDescent="0.15"/>
    <row r="116" ht="18.75" customHeight="1" x14ac:dyDescent="0.15"/>
    <row r="118" ht="18.75" customHeight="1" x14ac:dyDescent="0.15"/>
    <row r="120" ht="18.75" customHeight="1" x14ac:dyDescent="0.15"/>
    <row r="122" ht="18.75" customHeight="1" x14ac:dyDescent="0.15"/>
  </sheetData>
  <mergeCells count="88">
    <mergeCell ref="A12:A17"/>
    <mergeCell ref="P3:Q3"/>
    <mergeCell ref="A6:A11"/>
    <mergeCell ref="B6:B7"/>
    <mergeCell ref="C6:C7"/>
    <mergeCell ref="B10:B11"/>
    <mergeCell ref="C10:C11"/>
    <mergeCell ref="B8:B9"/>
    <mergeCell ref="C8:C9"/>
    <mergeCell ref="B12:B13"/>
    <mergeCell ref="C12:C13"/>
    <mergeCell ref="B14:B15"/>
    <mergeCell ref="C14:C15"/>
    <mergeCell ref="D3:E3"/>
    <mergeCell ref="F3:G3"/>
    <mergeCell ref="H3:I3"/>
    <mergeCell ref="D55:E55"/>
    <mergeCell ref="B58:B59"/>
    <mergeCell ref="C58:C59"/>
    <mergeCell ref="A48:A51"/>
    <mergeCell ref="A52:A55"/>
    <mergeCell ref="B52:B53"/>
    <mergeCell ref="C52:C53"/>
    <mergeCell ref="B48:B49"/>
    <mergeCell ref="C48:C49"/>
    <mergeCell ref="A56:A59"/>
    <mergeCell ref="B56:B57"/>
    <mergeCell ref="C56:C57"/>
    <mergeCell ref="N45:O45"/>
    <mergeCell ref="F45:G45"/>
    <mergeCell ref="N47:O47"/>
    <mergeCell ref="D53:E53"/>
    <mergeCell ref="B50:B51"/>
    <mergeCell ref="C50:C51"/>
    <mergeCell ref="D37:E37"/>
    <mergeCell ref="B30:B31"/>
    <mergeCell ref="C30:C31"/>
    <mergeCell ref="A18:A33"/>
    <mergeCell ref="A38:A41"/>
    <mergeCell ref="B38:B39"/>
    <mergeCell ref="C38:C39"/>
    <mergeCell ref="D35:E35"/>
    <mergeCell ref="B24:B25"/>
    <mergeCell ref="C24:C25"/>
    <mergeCell ref="B26:B27"/>
    <mergeCell ref="C26:C27"/>
    <mergeCell ref="B28:B29"/>
    <mergeCell ref="C28:C29"/>
    <mergeCell ref="B22:B23"/>
    <mergeCell ref="C22:C23"/>
    <mergeCell ref="D61:E61"/>
    <mergeCell ref="F61:G61"/>
    <mergeCell ref="N43:O43"/>
    <mergeCell ref="B40:B41"/>
    <mergeCell ref="C40:C41"/>
    <mergeCell ref="B42:B43"/>
    <mergeCell ref="C42:C43"/>
    <mergeCell ref="F43:G43"/>
    <mergeCell ref="H43:I43"/>
    <mergeCell ref="B46:B47"/>
    <mergeCell ref="B44:B45"/>
    <mergeCell ref="C44:C45"/>
    <mergeCell ref="C46:C47"/>
    <mergeCell ref="F47:G47"/>
    <mergeCell ref="H47:I47"/>
    <mergeCell ref="H45:I45"/>
    <mergeCell ref="B32:B33"/>
    <mergeCell ref="C32:C33"/>
    <mergeCell ref="A60:A61"/>
    <mergeCell ref="B60:B61"/>
    <mergeCell ref="C60:C61"/>
    <mergeCell ref="A34:A37"/>
    <mergeCell ref="B34:B35"/>
    <mergeCell ref="C34:C35"/>
    <mergeCell ref="B36:B37"/>
    <mergeCell ref="C36:C37"/>
    <mergeCell ref="A42:A47"/>
    <mergeCell ref="B54:B55"/>
    <mergeCell ref="C54:C55"/>
    <mergeCell ref="J3:K3"/>
    <mergeCell ref="L3:M3"/>
    <mergeCell ref="N3:O3"/>
    <mergeCell ref="B20:B21"/>
    <mergeCell ref="C20:C21"/>
    <mergeCell ref="B18:B19"/>
    <mergeCell ref="C18:C19"/>
    <mergeCell ref="B16:B17"/>
    <mergeCell ref="C16:C17"/>
  </mergeCells>
  <phoneticPr fontId="2"/>
  <conditionalFormatting sqref="P33 N33 L33 J33 H33 P31 N31 L31 J31 J29 L29 N29 P29 P27 N27 L27 J27 J25 L25 N25 P25 P23 N23 L23 J23 J21 L21 N21 P21 P19 N19 L19 J19 P15 N15 L15 J15 J13 L13 N13 P13 P11 N11 L11 J11 J9 L9 N9 P9 P7 N7 L7 J7 H31 H29 H27 H25 H23 H21 H19 H15 H13 H11 H9 H7 F33 F31 F29 F27 F25 F23 F21 F19 F15 F13 F11 F9 F7">
    <cfRule type="cellIs" dxfId="43" priority="5" operator="lessThan">
      <formula>1</formula>
    </cfRule>
    <cfRule type="cellIs" dxfId="42" priority="6" operator="greaterThanOrEqual">
      <formula>1</formula>
    </cfRule>
  </conditionalFormatting>
  <conditionalFormatting sqref="F59 H59 J61 J59 L61 L59 N61 N59 P61 P59 P55 P53 N55 N53 L55 L53 J55 J53 H55 H53 F51 F49 H51 H49 J51 J49 L51 L49 N51 N49 P51 P49 P47 P45 P43 L47 L45 L43 F41 H41 J41 L41 N41 P41 P39 N39 L39 J39 H39 F39 H37 J37 L37 N37 P37 P35 N35 L35 J35 H35">
    <cfRule type="cellIs" dxfId="41" priority="3" operator="lessThan">
      <formula>1</formula>
    </cfRule>
    <cfRule type="cellIs" dxfId="40" priority="4" operator="greaterThanOrEqual">
      <formula>1</formula>
    </cfRule>
  </conditionalFormatting>
  <conditionalFormatting sqref="P57 N57 L57 J57 H57 F57">
    <cfRule type="cellIs" dxfId="39" priority="1" operator="lessThan">
      <formula>1</formula>
    </cfRule>
    <cfRule type="cellIs" dxfId="38" priority="2" operator="greaterThanOrEqual">
      <formula>1</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4550-76B2-4C13-9764-4D26BDADD472}">
  <dimension ref="A2:R96"/>
  <sheetViews>
    <sheetView showGridLines="0" topLeftCell="A10" zoomScale="80" zoomScaleNormal="80" workbookViewId="0">
      <selection activeCell="N32" sqref="N32"/>
    </sheetView>
  </sheetViews>
  <sheetFormatPr defaultRowHeight="18.75" x14ac:dyDescent="0.15"/>
  <cols>
    <col min="1" max="1" width="28.625" style="1" bestFit="1" customWidth="1"/>
    <col min="2" max="2" width="29.125" style="2" customWidth="1"/>
    <col min="3" max="3" width="8.625" style="2" customWidth="1"/>
    <col min="4" max="4" width="6.875" style="1" bestFit="1" customWidth="1"/>
    <col min="5" max="5" width="7.625" style="1" bestFit="1" customWidth="1"/>
    <col min="6" max="6" width="9.75" style="1" bestFit="1" customWidth="1"/>
    <col min="7" max="7" width="7.625" style="1" bestFit="1" customWidth="1"/>
    <col min="8" max="8" width="9.75" style="1" bestFit="1" customWidth="1"/>
    <col min="9" max="9" width="7.625" style="1" bestFit="1" customWidth="1"/>
    <col min="10" max="10" width="9.75" style="1" bestFit="1" customWidth="1"/>
    <col min="11" max="11" width="7.625" style="1" bestFit="1" customWidth="1"/>
    <col min="12" max="12" width="9.75" style="1" bestFit="1" customWidth="1"/>
    <col min="13" max="13" width="7.625" style="1" bestFit="1" customWidth="1"/>
    <col min="14" max="14" width="9.75" style="1" bestFit="1" customWidth="1"/>
    <col min="15" max="15" width="7.625" style="1" bestFit="1" customWidth="1"/>
    <col min="16" max="16" width="9.125" style="1" bestFit="1" customWidth="1"/>
    <col min="17" max="17" width="7.625" style="1" bestFit="1" customWidth="1"/>
    <col min="18" max="16384" width="9" style="1"/>
  </cols>
  <sheetData>
    <row r="2" spans="1:18" ht="33.75" thickBot="1" x14ac:dyDescent="0.2">
      <c r="B2" s="10"/>
    </row>
    <row r="3" spans="1:18" ht="19.5" thickBot="1" x14ac:dyDescent="0.2">
      <c r="D3" s="94">
        <v>2019</v>
      </c>
      <c r="E3" s="95"/>
      <c r="F3" s="94">
        <v>2020</v>
      </c>
      <c r="G3" s="95"/>
      <c r="H3" s="94">
        <v>2021</v>
      </c>
      <c r="I3" s="95"/>
      <c r="J3" s="94">
        <v>2022</v>
      </c>
      <c r="K3" s="95"/>
      <c r="L3" s="94">
        <v>2023</v>
      </c>
      <c r="M3" s="95"/>
      <c r="N3" s="94">
        <v>2024</v>
      </c>
      <c r="O3" s="95"/>
      <c r="P3" s="94">
        <v>2025</v>
      </c>
      <c r="Q3" s="95"/>
    </row>
    <row r="4" spans="1:18"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8"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8" ht="22.5" x14ac:dyDescent="0.15">
      <c r="A6" s="139" t="s">
        <v>0</v>
      </c>
      <c r="B6" s="141" t="s">
        <v>89</v>
      </c>
      <c r="C6" s="142" t="s">
        <v>14</v>
      </c>
      <c r="D6" s="25">
        <v>257</v>
      </c>
      <c r="E6" s="50">
        <v>16</v>
      </c>
      <c r="F6" s="25">
        <v>281</v>
      </c>
      <c r="G6" s="50">
        <v>26</v>
      </c>
      <c r="H6" s="25">
        <v>316</v>
      </c>
      <c r="I6" s="50">
        <v>28</v>
      </c>
      <c r="J6" s="25">
        <v>329</v>
      </c>
      <c r="K6" s="50">
        <v>20</v>
      </c>
      <c r="L6" s="25">
        <v>370</v>
      </c>
      <c r="M6" s="50">
        <v>10</v>
      </c>
      <c r="N6" s="25">
        <v>380</v>
      </c>
      <c r="O6" s="50">
        <v>18</v>
      </c>
      <c r="P6" s="30">
        <v>409</v>
      </c>
      <c r="Q6" s="60">
        <v>32</v>
      </c>
    </row>
    <row r="7" spans="1:18" ht="19.5" thickBot="1" x14ac:dyDescent="0.2">
      <c r="A7" s="131"/>
      <c r="B7" s="112"/>
      <c r="C7" s="143"/>
      <c r="D7" s="19"/>
      <c r="E7" s="70">
        <f>E6/D6</f>
        <v>6.2256809338521402E-2</v>
      </c>
      <c r="F7" s="16">
        <f>F6/D6</f>
        <v>1.093385214007782</v>
      </c>
      <c r="G7" s="70">
        <f>G6/F6</f>
        <v>9.2526690391459068E-2</v>
      </c>
      <c r="H7" s="16">
        <f>H6/F6</f>
        <v>1.1245551601423487</v>
      </c>
      <c r="I7" s="70">
        <f>I6/H6</f>
        <v>8.8607594936708861E-2</v>
      </c>
      <c r="J7" s="16">
        <f>J6/H6</f>
        <v>1.0411392405063291</v>
      </c>
      <c r="K7" s="70">
        <f>K6/J6</f>
        <v>6.0790273556231005E-2</v>
      </c>
      <c r="L7" s="16">
        <f>L6/J6</f>
        <v>1.1246200607902737</v>
      </c>
      <c r="M7" s="70">
        <f>M6/L6</f>
        <v>2.7027027027027029E-2</v>
      </c>
      <c r="N7" s="16">
        <f>N6/L6</f>
        <v>1.027027027027027</v>
      </c>
      <c r="O7" s="70">
        <f>O6/N6</f>
        <v>4.736842105263158E-2</v>
      </c>
      <c r="P7" s="16">
        <f>P6/N6</f>
        <v>1.0763157894736841</v>
      </c>
      <c r="Q7" s="70">
        <f>Q6/P6</f>
        <v>7.823960880195599E-2</v>
      </c>
    </row>
    <row r="8" spans="1:18" s="5" customFormat="1" ht="22.5" x14ac:dyDescent="0.15">
      <c r="A8" s="131"/>
      <c r="B8" s="111" t="s">
        <v>90</v>
      </c>
      <c r="C8" s="142" t="s">
        <v>21</v>
      </c>
      <c r="D8" s="25">
        <v>419</v>
      </c>
      <c r="E8" s="50">
        <v>205</v>
      </c>
      <c r="F8" s="25">
        <v>355</v>
      </c>
      <c r="G8" s="50">
        <v>154</v>
      </c>
      <c r="H8" s="25">
        <v>327</v>
      </c>
      <c r="I8" s="50">
        <v>98</v>
      </c>
      <c r="J8" s="25">
        <v>329</v>
      </c>
      <c r="K8" s="50">
        <v>59</v>
      </c>
      <c r="L8" s="25">
        <v>333</v>
      </c>
      <c r="M8" s="50">
        <v>70</v>
      </c>
      <c r="N8" s="25">
        <v>283</v>
      </c>
      <c r="O8" s="50">
        <v>68</v>
      </c>
      <c r="P8" s="31">
        <v>248</v>
      </c>
      <c r="Q8" s="61">
        <v>63</v>
      </c>
    </row>
    <row r="9" spans="1:18" ht="19.5" thickBot="1" x14ac:dyDescent="0.2">
      <c r="A9" s="140"/>
      <c r="B9" s="112"/>
      <c r="C9" s="143"/>
      <c r="D9" s="19"/>
      <c r="E9" s="70">
        <f>E8/D8</f>
        <v>0.48926014319809069</v>
      </c>
      <c r="F9" s="16">
        <f>F8/D8</f>
        <v>0.847255369928401</v>
      </c>
      <c r="G9" s="70">
        <f>G8/F8</f>
        <v>0.43380281690140843</v>
      </c>
      <c r="H9" s="16">
        <f>H8/F8</f>
        <v>0.92112676056338028</v>
      </c>
      <c r="I9" s="70">
        <f>I8/H8</f>
        <v>0.29969418960244648</v>
      </c>
      <c r="J9" s="16">
        <f>J8/H8</f>
        <v>1.0061162079510704</v>
      </c>
      <c r="K9" s="70">
        <f>K8/J8</f>
        <v>0.17933130699088146</v>
      </c>
      <c r="L9" s="16">
        <f>L8/J8</f>
        <v>1.0121580547112461</v>
      </c>
      <c r="M9" s="70">
        <f>M8/L8</f>
        <v>0.21021021021021022</v>
      </c>
      <c r="N9" s="16">
        <f>N8/L8</f>
        <v>0.8498498498498499</v>
      </c>
      <c r="O9" s="70">
        <f>O8/N8</f>
        <v>0.24028268551236748</v>
      </c>
      <c r="P9" s="16">
        <f>P8/N8</f>
        <v>0.87632508833922262</v>
      </c>
      <c r="Q9" s="70">
        <f>Q8/P8</f>
        <v>0.25403225806451613</v>
      </c>
    </row>
    <row r="10" spans="1:18" ht="22.5" x14ac:dyDescent="0.15">
      <c r="A10" s="139" t="s">
        <v>1</v>
      </c>
      <c r="B10" s="141" t="s">
        <v>89</v>
      </c>
      <c r="C10" s="142" t="s">
        <v>14</v>
      </c>
      <c r="D10" s="25">
        <v>146</v>
      </c>
      <c r="E10" s="50">
        <v>14</v>
      </c>
      <c r="F10" s="25">
        <v>164</v>
      </c>
      <c r="G10" s="50">
        <v>12</v>
      </c>
      <c r="H10" s="25">
        <v>183</v>
      </c>
      <c r="I10" s="50">
        <v>8</v>
      </c>
      <c r="J10" s="25">
        <v>198</v>
      </c>
      <c r="K10" s="50">
        <v>7</v>
      </c>
      <c r="L10" s="25">
        <v>244</v>
      </c>
      <c r="M10" s="50">
        <v>4</v>
      </c>
      <c r="N10" s="25">
        <v>269</v>
      </c>
      <c r="O10" s="50">
        <v>0</v>
      </c>
      <c r="P10" s="31">
        <v>286</v>
      </c>
      <c r="Q10" s="61">
        <v>1</v>
      </c>
    </row>
    <row r="11" spans="1:18" ht="19.5" thickBot="1" x14ac:dyDescent="0.2">
      <c r="A11" s="131"/>
      <c r="B11" s="112"/>
      <c r="C11" s="143"/>
      <c r="D11" s="19"/>
      <c r="E11" s="70">
        <f>E10/D10</f>
        <v>9.5890410958904104E-2</v>
      </c>
      <c r="F11" s="16">
        <f>F10/D10</f>
        <v>1.1232876712328768</v>
      </c>
      <c r="G11" s="70">
        <f>G10/F10</f>
        <v>7.3170731707317069E-2</v>
      </c>
      <c r="H11" s="16">
        <f>H10/F10</f>
        <v>1.1158536585365855</v>
      </c>
      <c r="I11" s="70">
        <f>I10/H10</f>
        <v>4.3715846994535519E-2</v>
      </c>
      <c r="J11" s="16">
        <f>J10/H10</f>
        <v>1.0819672131147542</v>
      </c>
      <c r="K11" s="70">
        <f>K10/J10</f>
        <v>3.5353535353535352E-2</v>
      </c>
      <c r="L11" s="16">
        <f>L10/J10</f>
        <v>1.2323232323232323</v>
      </c>
      <c r="M11" s="70">
        <f>M10/L10</f>
        <v>1.6393442622950821E-2</v>
      </c>
      <c r="N11" s="16">
        <f>N10/L10</f>
        <v>1.1024590163934427</v>
      </c>
      <c r="O11" s="70">
        <f>O10/N10</f>
        <v>0</v>
      </c>
      <c r="P11" s="16">
        <f>P10/N10</f>
        <v>1.0631970260223049</v>
      </c>
      <c r="Q11" s="70">
        <f>Q10/P10</f>
        <v>3.4965034965034965E-3</v>
      </c>
    </row>
    <row r="12" spans="1:18" ht="22.5" x14ac:dyDescent="0.15">
      <c r="A12" s="131"/>
      <c r="B12" s="111" t="s">
        <v>90</v>
      </c>
      <c r="C12" s="142" t="s">
        <v>21</v>
      </c>
      <c r="D12" s="25">
        <v>244</v>
      </c>
      <c r="E12" s="50">
        <v>68</v>
      </c>
      <c r="F12" s="25">
        <v>245</v>
      </c>
      <c r="G12" s="50">
        <v>53</v>
      </c>
      <c r="H12" s="25">
        <v>182</v>
      </c>
      <c r="I12" s="50">
        <v>28</v>
      </c>
      <c r="J12" s="25">
        <v>202</v>
      </c>
      <c r="K12" s="50">
        <v>16</v>
      </c>
      <c r="L12" s="25">
        <v>202</v>
      </c>
      <c r="M12" s="50">
        <v>19</v>
      </c>
      <c r="N12" s="25">
        <v>166</v>
      </c>
      <c r="O12" s="50">
        <v>27</v>
      </c>
      <c r="P12" s="31">
        <v>136</v>
      </c>
      <c r="Q12" s="61">
        <v>25</v>
      </c>
    </row>
    <row r="13" spans="1:18" ht="19.5" thickBot="1" x14ac:dyDescent="0.2">
      <c r="A13" s="140"/>
      <c r="B13" s="112"/>
      <c r="C13" s="143"/>
      <c r="D13" s="19"/>
      <c r="E13" s="70">
        <f>E12/D12</f>
        <v>0.27868852459016391</v>
      </c>
      <c r="F13" s="16">
        <f>F12/D12</f>
        <v>1.0040983606557377</v>
      </c>
      <c r="G13" s="70">
        <f>G12/F12</f>
        <v>0.21632653061224491</v>
      </c>
      <c r="H13" s="16">
        <f>H12/F12</f>
        <v>0.74285714285714288</v>
      </c>
      <c r="I13" s="70">
        <f>I12/H12</f>
        <v>0.15384615384615385</v>
      </c>
      <c r="J13" s="16">
        <f>J12/H12</f>
        <v>1.1098901098901099</v>
      </c>
      <c r="K13" s="70">
        <f>K12/J12</f>
        <v>7.9207920792079209E-2</v>
      </c>
      <c r="L13" s="16">
        <f>L12/J12</f>
        <v>1</v>
      </c>
      <c r="M13" s="70">
        <f>M12/L12</f>
        <v>9.405940594059406E-2</v>
      </c>
      <c r="N13" s="16">
        <f>N12/L12</f>
        <v>0.82178217821782173</v>
      </c>
      <c r="O13" s="70">
        <f>O12/N12</f>
        <v>0.16265060240963855</v>
      </c>
      <c r="P13" s="16">
        <f>P12/N12</f>
        <v>0.81927710843373491</v>
      </c>
      <c r="Q13" s="70">
        <f>Q12/P12</f>
        <v>0.18382352941176472</v>
      </c>
    </row>
    <row r="14" spans="1:18" ht="18.75" customHeight="1" x14ac:dyDescent="0.15">
      <c r="A14" s="104" t="s">
        <v>76</v>
      </c>
      <c r="B14" s="108" t="s">
        <v>91</v>
      </c>
      <c r="C14" s="118" t="s">
        <v>14</v>
      </c>
      <c r="D14" s="26">
        <v>259</v>
      </c>
      <c r="E14" s="52">
        <v>97</v>
      </c>
      <c r="F14" s="26">
        <v>292</v>
      </c>
      <c r="G14" s="52">
        <v>137</v>
      </c>
      <c r="H14" s="26">
        <v>317</v>
      </c>
      <c r="I14" s="52">
        <v>91</v>
      </c>
      <c r="J14" s="26">
        <v>263</v>
      </c>
      <c r="K14" s="52">
        <v>67</v>
      </c>
      <c r="L14" s="26">
        <v>162</v>
      </c>
      <c r="M14" s="52">
        <v>33</v>
      </c>
      <c r="N14" s="26">
        <v>208</v>
      </c>
      <c r="O14" s="52">
        <v>30</v>
      </c>
      <c r="P14" s="28">
        <v>142</v>
      </c>
      <c r="Q14" s="62">
        <v>23</v>
      </c>
      <c r="R14" s="1" t="s">
        <v>369</v>
      </c>
    </row>
    <row r="15" spans="1:18" ht="19.5" thickBot="1" x14ac:dyDescent="0.2">
      <c r="A15" s="117"/>
      <c r="B15" s="107"/>
      <c r="C15" s="119"/>
      <c r="D15" s="19"/>
      <c r="E15" s="53">
        <f>E14/D14</f>
        <v>0.37451737451737449</v>
      </c>
      <c r="F15" s="47">
        <f>F14/D14</f>
        <v>1.1274131274131274</v>
      </c>
      <c r="G15" s="53">
        <f>G14/F14</f>
        <v>0.46917808219178081</v>
      </c>
      <c r="H15" s="47">
        <f>H14/F14</f>
        <v>1.0856164383561644</v>
      </c>
      <c r="I15" s="53">
        <f>I14/H14</f>
        <v>0.28706624605678233</v>
      </c>
      <c r="J15" s="47">
        <f>J14/H14</f>
        <v>0.82965299684542582</v>
      </c>
      <c r="K15" s="53">
        <f>K14/J14</f>
        <v>0.25475285171102663</v>
      </c>
      <c r="L15" s="47">
        <f>L14/J14</f>
        <v>0.61596958174904948</v>
      </c>
      <c r="M15" s="53">
        <f>M14/L14</f>
        <v>0.20370370370370369</v>
      </c>
      <c r="N15" s="47">
        <f>N14/L14</f>
        <v>1.2839506172839505</v>
      </c>
      <c r="O15" s="53">
        <f>O14/N14</f>
        <v>0.14423076923076922</v>
      </c>
      <c r="P15" s="47">
        <f>P14/N14</f>
        <v>0.68269230769230771</v>
      </c>
      <c r="Q15" s="63">
        <f>Q14/P14</f>
        <v>0.1619718309859155</v>
      </c>
    </row>
    <row r="16" spans="1:18" ht="18.75" customHeight="1" x14ac:dyDescent="0.15">
      <c r="A16" s="129" t="s">
        <v>77</v>
      </c>
      <c r="B16" s="108" t="s">
        <v>34</v>
      </c>
      <c r="C16" s="118" t="s">
        <v>38</v>
      </c>
      <c r="D16" s="23"/>
      <c r="E16" s="7"/>
      <c r="F16" s="23"/>
      <c r="G16" s="7"/>
      <c r="H16" s="26">
        <v>96</v>
      </c>
      <c r="I16" s="52">
        <v>35</v>
      </c>
      <c r="J16" s="26">
        <v>87</v>
      </c>
      <c r="K16" s="52">
        <v>21</v>
      </c>
      <c r="L16" s="26">
        <v>99</v>
      </c>
      <c r="M16" s="52">
        <v>23</v>
      </c>
      <c r="N16" s="26">
        <v>97</v>
      </c>
      <c r="O16" s="52">
        <v>24</v>
      </c>
      <c r="P16" s="28">
        <v>97</v>
      </c>
      <c r="Q16" s="62">
        <v>27</v>
      </c>
    </row>
    <row r="17" spans="1:17" ht="19.5" thickBot="1" x14ac:dyDescent="0.2">
      <c r="A17" s="123"/>
      <c r="B17" s="107"/>
      <c r="C17" s="119"/>
      <c r="D17" s="102"/>
      <c r="E17" s="103"/>
      <c r="F17" s="102"/>
      <c r="G17" s="103"/>
      <c r="H17" s="19"/>
      <c r="I17" s="53">
        <f>I16/H16</f>
        <v>0.36458333333333331</v>
      </c>
      <c r="J17" s="47">
        <f>J16/H16</f>
        <v>0.90625</v>
      </c>
      <c r="K17" s="53">
        <f>K16/J16</f>
        <v>0.2413793103448276</v>
      </c>
      <c r="L17" s="47">
        <f>L16/J16</f>
        <v>1.1379310344827587</v>
      </c>
      <c r="M17" s="53">
        <f>M16/L16</f>
        <v>0.23232323232323232</v>
      </c>
      <c r="N17" s="47">
        <f>N16/L16</f>
        <v>0.97979797979797978</v>
      </c>
      <c r="O17" s="53">
        <f>O16/N16</f>
        <v>0.24742268041237114</v>
      </c>
      <c r="P17" s="47">
        <f>P16/N16</f>
        <v>1</v>
      </c>
      <c r="Q17" s="63">
        <f>Q16/P16</f>
        <v>0.27835051546391754</v>
      </c>
    </row>
    <row r="18" spans="1:17" ht="18.75" customHeight="1" x14ac:dyDescent="0.15">
      <c r="A18" s="123"/>
      <c r="B18" s="108" t="s">
        <v>29</v>
      </c>
      <c r="C18" s="118" t="s">
        <v>21</v>
      </c>
      <c r="D18" s="23"/>
      <c r="E18" s="7"/>
      <c r="F18" s="23"/>
      <c r="G18" s="7"/>
      <c r="H18" s="26">
        <v>77</v>
      </c>
      <c r="I18" s="52">
        <v>18</v>
      </c>
      <c r="J18" s="26">
        <v>86</v>
      </c>
      <c r="K18" s="52">
        <v>14</v>
      </c>
      <c r="L18" s="26">
        <v>86</v>
      </c>
      <c r="M18" s="52">
        <v>18</v>
      </c>
      <c r="N18" s="26">
        <v>75</v>
      </c>
      <c r="O18" s="52">
        <v>19</v>
      </c>
      <c r="P18" s="28">
        <v>84</v>
      </c>
      <c r="Q18" s="62">
        <v>25</v>
      </c>
    </row>
    <row r="19" spans="1:17" ht="19.5" thickBot="1" x14ac:dyDescent="0.2">
      <c r="A19" s="124"/>
      <c r="B19" s="107"/>
      <c r="C19" s="119"/>
      <c r="D19" s="102"/>
      <c r="E19" s="103"/>
      <c r="F19" s="102"/>
      <c r="G19" s="103"/>
      <c r="H19" s="19"/>
      <c r="I19" s="53">
        <f>I18/H18</f>
        <v>0.23376623376623376</v>
      </c>
      <c r="J19" s="47">
        <f>J18/H18</f>
        <v>1.1168831168831168</v>
      </c>
      <c r="K19" s="53">
        <f>K18/J18</f>
        <v>0.16279069767441862</v>
      </c>
      <c r="L19" s="47">
        <f>L18/J18</f>
        <v>1</v>
      </c>
      <c r="M19" s="53">
        <f>M18/L18</f>
        <v>0.20930232558139536</v>
      </c>
      <c r="N19" s="47">
        <f>N18/L18</f>
        <v>0.87209302325581395</v>
      </c>
      <c r="O19" s="53">
        <f>O18/N18</f>
        <v>0.25333333333333335</v>
      </c>
      <c r="P19" s="47">
        <f>P18/N18</f>
        <v>1.1200000000000001</v>
      </c>
      <c r="Q19" s="63">
        <f>Q18/P18</f>
        <v>0.29761904761904762</v>
      </c>
    </row>
    <row r="20" spans="1:17" ht="22.5" x14ac:dyDescent="0.15">
      <c r="A20" s="129" t="s">
        <v>10</v>
      </c>
      <c r="B20" s="108" t="s">
        <v>55</v>
      </c>
      <c r="C20" s="118" t="s">
        <v>21</v>
      </c>
      <c r="D20" s="23"/>
      <c r="E20" s="7"/>
      <c r="F20" s="23"/>
      <c r="G20" s="7"/>
      <c r="H20" s="26">
        <v>27</v>
      </c>
      <c r="I20" s="52">
        <v>9</v>
      </c>
      <c r="J20" s="26">
        <v>24</v>
      </c>
      <c r="K20" s="52">
        <v>6</v>
      </c>
      <c r="L20" s="26">
        <v>34</v>
      </c>
      <c r="M20" s="52">
        <v>8</v>
      </c>
      <c r="N20" s="26">
        <v>30</v>
      </c>
      <c r="O20" s="52">
        <v>5</v>
      </c>
      <c r="P20" s="28">
        <v>22</v>
      </c>
      <c r="Q20" s="62">
        <v>5</v>
      </c>
    </row>
    <row r="21" spans="1:17" ht="19.5" thickBot="1" x14ac:dyDescent="0.2">
      <c r="A21" s="123"/>
      <c r="B21" s="107"/>
      <c r="C21" s="119"/>
      <c r="D21" s="102"/>
      <c r="E21" s="103"/>
      <c r="F21" s="102"/>
      <c r="G21" s="103"/>
      <c r="H21" s="19"/>
      <c r="I21" s="53">
        <f>I20/H20</f>
        <v>0.33333333333333331</v>
      </c>
      <c r="J21" s="47">
        <f>J20/H20</f>
        <v>0.88888888888888884</v>
      </c>
      <c r="K21" s="53">
        <f>K20/J20</f>
        <v>0.25</v>
      </c>
      <c r="L21" s="47">
        <f>L20/J20</f>
        <v>1.4166666666666667</v>
      </c>
      <c r="M21" s="53">
        <f>M20/L20</f>
        <v>0.23529411764705882</v>
      </c>
      <c r="N21" s="47">
        <f>N20/L20</f>
        <v>0.88235294117647056</v>
      </c>
      <c r="O21" s="53">
        <f>O20/N20</f>
        <v>0.16666666666666666</v>
      </c>
      <c r="P21" s="47">
        <f>P20/N20</f>
        <v>0.73333333333333328</v>
      </c>
      <c r="Q21" s="63">
        <f>Q20/P20</f>
        <v>0.22727272727272727</v>
      </c>
    </row>
    <row r="22" spans="1:17" ht="22.5" x14ac:dyDescent="0.15">
      <c r="A22" s="123"/>
      <c r="B22" s="106" t="s">
        <v>29</v>
      </c>
      <c r="C22" s="118" t="s">
        <v>21</v>
      </c>
      <c r="D22" s="23"/>
      <c r="E22" s="7"/>
      <c r="F22" s="23"/>
      <c r="G22" s="7"/>
      <c r="H22" s="26">
        <v>38</v>
      </c>
      <c r="I22" s="52">
        <v>16</v>
      </c>
      <c r="J22" s="26">
        <v>33</v>
      </c>
      <c r="K22" s="52">
        <v>12</v>
      </c>
      <c r="L22" s="26">
        <v>26</v>
      </c>
      <c r="M22" s="52">
        <v>8</v>
      </c>
      <c r="N22" s="26">
        <v>28</v>
      </c>
      <c r="O22" s="52">
        <v>8</v>
      </c>
      <c r="P22" s="28">
        <v>26</v>
      </c>
      <c r="Q22" s="62">
        <v>8</v>
      </c>
    </row>
    <row r="23" spans="1:17" ht="19.5" thickBot="1" x14ac:dyDescent="0.2">
      <c r="A23" s="124"/>
      <c r="B23" s="107"/>
      <c r="C23" s="119"/>
      <c r="D23" s="102"/>
      <c r="E23" s="103"/>
      <c r="F23" s="102"/>
      <c r="G23" s="103"/>
      <c r="H23" s="19"/>
      <c r="I23" s="53">
        <f>I22/H22</f>
        <v>0.42105263157894735</v>
      </c>
      <c r="J23" s="47">
        <f>J22/H22</f>
        <v>0.86842105263157898</v>
      </c>
      <c r="K23" s="53">
        <f>K22/J22</f>
        <v>0.36363636363636365</v>
      </c>
      <c r="L23" s="47">
        <f>L22/J22</f>
        <v>0.78787878787878785</v>
      </c>
      <c r="M23" s="53">
        <f>M22/L22</f>
        <v>0.30769230769230771</v>
      </c>
      <c r="N23" s="47">
        <f>N22/L22</f>
        <v>1.0769230769230769</v>
      </c>
      <c r="O23" s="53">
        <f>O22/N22</f>
        <v>0.2857142857142857</v>
      </c>
      <c r="P23" s="47">
        <f>P22/N22</f>
        <v>0.9285714285714286</v>
      </c>
      <c r="Q23" s="63">
        <f>Q22/P22</f>
        <v>0.30769230769230771</v>
      </c>
    </row>
    <row r="24" spans="1:17" ht="19.5" customHeight="1" x14ac:dyDescent="0.15">
      <c r="A24" s="129" t="s">
        <v>12</v>
      </c>
      <c r="B24" s="106" t="s">
        <v>55</v>
      </c>
      <c r="C24" s="118" t="s">
        <v>21</v>
      </c>
      <c r="D24" s="26">
        <v>127</v>
      </c>
      <c r="E24" s="52">
        <v>64</v>
      </c>
      <c r="F24" s="23"/>
      <c r="G24" s="7"/>
      <c r="H24" s="26">
        <v>81</v>
      </c>
      <c r="I24" s="52">
        <v>26</v>
      </c>
      <c r="J24" s="23"/>
      <c r="K24" s="7"/>
      <c r="L24" s="26">
        <v>73</v>
      </c>
      <c r="M24" s="52">
        <v>24</v>
      </c>
      <c r="N24" s="26">
        <v>88</v>
      </c>
      <c r="O24" s="52">
        <v>43</v>
      </c>
      <c r="P24" s="28">
        <v>77</v>
      </c>
      <c r="Q24" s="62">
        <v>43</v>
      </c>
    </row>
    <row r="25" spans="1:17" ht="19.5" thickBot="1" x14ac:dyDescent="0.2">
      <c r="A25" s="123"/>
      <c r="B25" s="107"/>
      <c r="C25" s="119"/>
      <c r="D25" s="19"/>
      <c r="E25" s="53">
        <f>E24/D24</f>
        <v>0.50393700787401574</v>
      </c>
      <c r="F25" s="102"/>
      <c r="G25" s="103"/>
      <c r="H25" s="47">
        <f>H24/D24</f>
        <v>0.63779527559055116</v>
      </c>
      <c r="I25" s="53">
        <f>I24/H24</f>
        <v>0.32098765432098764</v>
      </c>
      <c r="J25" s="102"/>
      <c r="K25" s="103"/>
      <c r="L25" s="47">
        <f>L24/H24</f>
        <v>0.90123456790123457</v>
      </c>
      <c r="M25" s="53">
        <f>M24/L24</f>
        <v>0.32876712328767121</v>
      </c>
      <c r="N25" s="47">
        <f>N24/L24</f>
        <v>1.2054794520547945</v>
      </c>
      <c r="O25" s="53">
        <f>O24/N24</f>
        <v>0.48863636363636365</v>
      </c>
      <c r="P25" s="47">
        <f>P24/N24</f>
        <v>0.875</v>
      </c>
      <c r="Q25" s="63">
        <f>Q24/P24</f>
        <v>0.55844155844155841</v>
      </c>
    </row>
    <row r="26" spans="1:17" ht="22.5" x14ac:dyDescent="0.15">
      <c r="A26" s="123"/>
      <c r="B26" s="104" t="s">
        <v>59</v>
      </c>
      <c r="C26" s="118" t="s">
        <v>21</v>
      </c>
      <c r="D26" s="23"/>
      <c r="E26" s="7"/>
      <c r="F26" s="23"/>
      <c r="G26" s="7"/>
      <c r="H26" s="26">
        <v>176</v>
      </c>
      <c r="I26" s="52">
        <v>60</v>
      </c>
      <c r="J26" s="23"/>
      <c r="K26" s="7"/>
      <c r="L26" s="23"/>
      <c r="M26" s="7"/>
      <c r="N26" s="26">
        <v>162</v>
      </c>
      <c r="O26" s="52">
        <v>43</v>
      </c>
      <c r="P26" s="28">
        <v>151</v>
      </c>
      <c r="Q26" s="62">
        <v>56</v>
      </c>
    </row>
    <row r="27" spans="1:17" ht="19.5" thickBot="1" x14ac:dyDescent="0.2">
      <c r="A27" s="124"/>
      <c r="B27" s="105"/>
      <c r="C27" s="119"/>
      <c r="D27" s="100"/>
      <c r="E27" s="97"/>
      <c r="F27" s="100"/>
      <c r="G27" s="97"/>
      <c r="H27" s="19"/>
      <c r="I27" s="53">
        <f>I26/H26</f>
        <v>0.34090909090909088</v>
      </c>
      <c r="J27" s="100"/>
      <c r="K27" s="97"/>
      <c r="L27" s="100"/>
      <c r="M27" s="97"/>
      <c r="N27" s="47">
        <f>N26/H26</f>
        <v>0.92045454545454541</v>
      </c>
      <c r="O27" s="53">
        <f>O26/N26</f>
        <v>0.26543209876543211</v>
      </c>
      <c r="P27" s="47">
        <f>P26/N26</f>
        <v>0.9320987654320988</v>
      </c>
      <c r="Q27" s="63">
        <f>Q26/P26</f>
        <v>0.37086092715231789</v>
      </c>
    </row>
    <row r="28" spans="1:17" ht="22.5" x14ac:dyDescent="0.15">
      <c r="A28" s="129" t="s">
        <v>92</v>
      </c>
      <c r="B28" s="104" t="s">
        <v>73</v>
      </c>
      <c r="C28" s="118" t="s">
        <v>21</v>
      </c>
      <c r="D28" s="23"/>
      <c r="E28" s="7"/>
      <c r="F28" s="23"/>
      <c r="G28" s="7"/>
      <c r="H28" s="26">
        <v>213</v>
      </c>
      <c r="I28" s="52">
        <v>10</v>
      </c>
      <c r="J28" s="26">
        <v>221</v>
      </c>
      <c r="K28" s="52">
        <v>7</v>
      </c>
      <c r="L28" s="26">
        <v>225</v>
      </c>
      <c r="M28" s="52">
        <v>5</v>
      </c>
      <c r="N28" s="26">
        <v>224</v>
      </c>
      <c r="O28" s="52">
        <v>8</v>
      </c>
      <c r="P28" s="28">
        <v>200</v>
      </c>
      <c r="Q28" s="62">
        <v>15</v>
      </c>
    </row>
    <row r="29" spans="1:17" ht="19.5" customHeight="1" thickBot="1" x14ac:dyDescent="0.2">
      <c r="A29" s="123"/>
      <c r="B29" s="105"/>
      <c r="C29" s="119"/>
      <c r="D29" s="100"/>
      <c r="E29" s="97"/>
      <c r="F29" s="100"/>
      <c r="G29" s="97"/>
      <c r="H29" s="19"/>
      <c r="I29" s="53">
        <f>I28/H28</f>
        <v>4.6948356807511735E-2</v>
      </c>
      <c r="J29" s="47">
        <f>J28/H28</f>
        <v>1.0375586854460095</v>
      </c>
      <c r="K29" s="53">
        <f>K28/J28</f>
        <v>3.1674208144796379E-2</v>
      </c>
      <c r="L29" s="47">
        <f>L28/J28</f>
        <v>1.0180995475113122</v>
      </c>
      <c r="M29" s="53">
        <f>M28/L28</f>
        <v>2.2222222222222223E-2</v>
      </c>
      <c r="N29" s="47">
        <f>N28/L28</f>
        <v>0.99555555555555553</v>
      </c>
      <c r="O29" s="53">
        <f>O28/N28</f>
        <v>3.5714285714285712E-2</v>
      </c>
      <c r="P29" s="47">
        <f>P28/N28</f>
        <v>0.8928571428571429</v>
      </c>
      <c r="Q29" s="63">
        <f>Q28/P28</f>
        <v>7.4999999999999997E-2</v>
      </c>
    </row>
    <row r="30" spans="1:17" ht="22.5" x14ac:dyDescent="0.15">
      <c r="A30" s="123"/>
      <c r="B30" s="104" t="s">
        <v>55</v>
      </c>
      <c r="C30" s="118" t="s">
        <v>21</v>
      </c>
      <c r="D30" s="23"/>
      <c r="E30" s="7"/>
      <c r="F30" s="23"/>
      <c r="G30" s="7"/>
      <c r="H30" s="26">
        <v>44</v>
      </c>
      <c r="I30" s="52">
        <v>2</v>
      </c>
      <c r="J30" s="26">
        <v>39</v>
      </c>
      <c r="K30" s="52">
        <v>1</v>
      </c>
      <c r="L30" s="26">
        <v>40</v>
      </c>
      <c r="M30" s="52">
        <v>1</v>
      </c>
      <c r="N30" s="26">
        <v>46</v>
      </c>
      <c r="O30" s="52">
        <v>2</v>
      </c>
      <c r="P30" s="28">
        <v>51</v>
      </c>
      <c r="Q30" s="62">
        <v>0</v>
      </c>
    </row>
    <row r="31" spans="1:17" ht="19.5" customHeight="1" thickBot="1" x14ac:dyDescent="0.2">
      <c r="A31" s="124"/>
      <c r="B31" s="105"/>
      <c r="C31" s="119"/>
      <c r="D31" s="100"/>
      <c r="E31" s="97"/>
      <c r="F31" s="100"/>
      <c r="G31" s="97"/>
      <c r="H31" s="19"/>
      <c r="I31" s="53">
        <f>I30/H30</f>
        <v>4.5454545454545456E-2</v>
      </c>
      <c r="J31" s="47">
        <f>J30/H30</f>
        <v>0.88636363636363635</v>
      </c>
      <c r="K31" s="53">
        <f>K30/J30</f>
        <v>2.564102564102564E-2</v>
      </c>
      <c r="L31" s="47">
        <f>L30/J30</f>
        <v>1.0256410256410255</v>
      </c>
      <c r="M31" s="53">
        <f>M30/L30</f>
        <v>2.5000000000000001E-2</v>
      </c>
      <c r="N31" s="47">
        <f>N30/L30</f>
        <v>1.1499999999999999</v>
      </c>
      <c r="O31" s="53">
        <f>O30/N30</f>
        <v>4.3478260869565216E-2</v>
      </c>
      <c r="P31" s="47">
        <f>P30/N30</f>
        <v>1.1086956521739131</v>
      </c>
      <c r="Q31" s="63">
        <f>Q30/P30</f>
        <v>0</v>
      </c>
    </row>
    <row r="32" spans="1:17" ht="22.5" x14ac:dyDescent="0.15">
      <c r="A32" s="129" t="s">
        <v>9</v>
      </c>
      <c r="B32" s="104" t="s">
        <v>322</v>
      </c>
      <c r="C32" s="118" t="s">
        <v>38</v>
      </c>
      <c r="D32" s="26">
        <v>59</v>
      </c>
      <c r="E32" s="52">
        <v>23</v>
      </c>
      <c r="F32" s="26">
        <v>74</v>
      </c>
      <c r="G32" s="52">
        <v>34</v>
      </c>
      <c r="H32" s="26">
        <v>87</v>
      </c>
      <c r="I32" s="52">
        <v>28</v>
      </c>
      <c r="J32" s="26">
        <v>98</v>
      </c>
      <c r="K32" s="52">
        <v>21</v>
      </c>
      <c r="L32" s="26">
        <v>92</v>
      </c>
      <c r="M32" s="52">
        <v>17</v>
      </c>
      <c r="N32" s="27">
        <v>106</v>
      </c>
      <c r="O32" s="59">
        <v>18</v>
      </c>
      <c r="P32" s="28">
        <v>136</v>
      </c>
      <c r="Q32" s="62">
        <v>19</v>
      </c>
    </row>
    <row r="33" spans="1:17" ht="19.5" customHeight="1" thickBot="1" x14ac:dyDescent="0.2">
      <c r="A33" s="123"/>
      <c r="B33" s="105"/>
      <c r="C33" s="119"/>
      <c r="D33" s="19"/>
      <c r="E33" s="53">
        <f>E32/D32</f>
        <v>0.38983050847457629</v>
      </c>
      <c r="F33" s="47">
        <f>F32/D32</f>
        <v>1.2542372881355932</v>
      </c>
      <c r="G33" s="53">
        <f>G32/F32</f>
        <v>0.45945945945945948</v>
      </c>
      <c r="H33" s="47">
        <f>H32/F32</f>
        <v>1.1756756756756757</v>
      </c>
      <c r="I33" s="53">
        <f>I32/H32</f>
        <v>0.32183908045977011</v>
      </c>
      <c r="J33" s="47">
        <f>J32/H32</f>
        <v>1.1264367816091954</v>
      </c>
      <c r="K33" s="53">
        <f>K32/J32</f>
        <v>0.21428571428571427</v>
      </c>
      <c r="L33" s="47">
        <f>L32/J32</f>
        <v>0.93877551020408168</v>
      </c>
      <c r="M33" s="53">
        <f>M32/L32</f>
        <v>0.18478260869565216</v>
      </c>
      <c r="N33" s="47">
        <f>N32/L32</f>
        <v>1.1521739130434783</v>
      </c>
      <c r="O33" s="53">
        <f>O32/N32</f>
        <v>0.16981132075471697</v>
      </c>
      <c r="P33" s="47">
        <f>P32/N32</f>
        <v>1.2830188679245282</v>
      </c>
      <c r="Q33" s="53">
        <f>Q32/P32</f>
        <v>0.13970588235294118</v>
      </c>
    </row>
    <row r="34" spans="1:17" ht="22.5" x14ac:dyDescent="0.15">
      <c r="A34" s="123"/>
      <c r="B34" s="104" t="s">
        <v>63</v>
      </c>
      <c r="C34" s="118" t="s">
        <v>21</v>
      </c>
      <c r="D34" s="26">
        <v>93</v>
      </c>
      <c r="E34" s="52">
        <v>44</v>
      </c>
      <c r="F34" s="26">
        <v>100</v>
      </c>
      <c r="G34" s="52">
        <v>48</v>
      </c>
      <c r="H34" s="26">
        <v>121</v>
      </c>
      <c r="I34" s="52">
        <v>39</v>
      </c>
      <c r="J34" s="26">
        <v>131</v>
      </c>
      <c r="K34" s="52">
        <v>23</v>
      </c>
      <c r="L34" s="26">
        <v>133</v>
      </c>
      <c r="M34" s="52">
        <v>33</v>
      </c>
      <c r="N34" s="27">
        <v>129</v>
      </c>
      <c r="O34" s="59">
        <v>42</v>
      </c>
      <c r="P34" s="28">
        <v>133</v>
      </c>
      <c r="Q34" s="62">
        <v>54</v>
      </c>
    </row>
    <row r="35" spans="1:17" ht="19.5" customHeight="1" thickBot="1" x14ac:dyDescent="0.2">
      <c r="A35" s="123"/>
      <c r="B35" s="105"/>
      <c r="C35" s="119"/>
      <c r="D35" s="19"/>
      <c r="E35" s="53">
        <f>E34/D34</f>
        <v>0.4731182795698925</v>
      </c>
      <c r="F35" s="47">
        <f>F34/D34</f>
        <v>1.075268817204301</v>
      </c>
      <c r="G35" s="53">
        <f>G34/F34</f>
        <v>0.48</v>
      </c>
      <c r="H35" s="47">
        <f>H34/F34</f>
        <v>1.21</v>
      </c>
      <c r="I35" s="53">
        <f>I34/H34</f>
        <v>0.32231404958677684</v>
      </c>
      <c r="J35" s="47">
        <f>J34/H34</f>
        <v>1.0826446280991735</v>
      </c>
      <c r="K35" s="53">
        <f>K34/J34</f>
        <v>0.17557251908396945</v>
      </c>
      <c r="L35" s="47">
        <f>L34/J34</f>
        <v>1.0152671755725191</v>
      </c>
      <c r="M35" s="53">
        <f>M34/L34</f>
        <v>0.24812030075187969</v>
      </c>
      <c r="N35" s="47">
        <f>N34/L34</f>
        <v>0.96992481203007519</v>
      </c>
      <c r="O35" s="53">
        <f>O34/N34</f>
        <v>0.32558139534883723</v>
      </c>
      <c r="P35" s="47">
        <f>P34/N34</f>
        <v>1.0310077519379846</v>
      </c>
      <c r="Q35" s="53">
        <f>Q34/P34</f>
        <v>0.40601503759398494</v>
      </c>
    </row>
    <row r="36" spans="1:17" ht="22.5" x14ac:dyDescent="0.15">
      <c r="A36" s="123"/>
      <c r="B36" s="104" t="s">
        <v>64</v>
      </c>
      <c r="C36" s="118" t="s">
        <v>21</v>
      </c>
      <c r="D36" s="26">
        <v>74</v>
      </c>
      <c r="E36" s="52">
        <v>29</v>
      </c>
      <c r="F36" s="26">
        <v>101</v>
      </c>
      <c r="G36" s="52">
        <v>38</v>
      </c>
      <c r="H36" s="26">
        <v>143</v>
      </c>
      <c r="I36" s="52">
        <v>35</v>
      </c>
      <c r="J36" s="26">
        <v>166</v>
      </c>
      <c r="K36" s="52">
        <v>24</v>
      </c>
      <c r="L36" s="26">
        <v>143</v>
      </c>
      <c r="M36" s="52">
        <v>18</v>
      </c>
      <c r="N36" s="27">
        <v>107</v>
      </c>
      <c r="O36" s="59">
        <v>18</v>
      </c>
      <c r="P36" s="29">
        <v>110</v>
      </c>
      <c r="Q36" s="62">
        <v>27</v>
      </c>
    </row>
    <row r="37" spans="1:17" ht="19.5" thickBot="1" x14ac:dyDescent="0.2">
      <c r="A37" s="124"/>
      <c r="B37" s="105"/>
      <c r="C37" s="119"/>
      <c r="D37" s="19"/>
      <c r="E37" s="53">
        <f>E36/D36</f>
        <v>0.39189189189189189</v>
      </c>
      <c r="F37" s="47">
        <f>F36/D36</f>
        <v>1.3648648648648649</v>
      </c>
      <c r="G37" s="53">
        <f>G36/F36</f>
        <v>0.37623762376237624</v>
      </c>
      <c r="H37" s="47">
        <f>H36/F36</f>
        <v>1.4158415841584158</v>
      </c>
      <c r="I37" s="53">
        <f>I36/H36</f>
        <v>0.24475524475524477</v>
      </c>
      <c r="J37" s="47">
        <f>J36/H36</f>
        <v>1.1608391608391608</v>
      </c>
      <c r="K37" s="53">
        <f>K36/J36</f>
        <v>0.14457831325301204</v>
      </c>
      <c r="L37" s="47">
        <f>L36/J36</f>
        <v>0.86144578313253017</v>
      </c>
      <c r="M37" s="53">
        <f>M36/L36</f>
        <v>0.12587412587412589</v>
      </c>
      <c r="N37" s="47">
        <f>N36/L36</f>
        <v>0.74825174825174823</v>
      </c>
      <c r="O37" s="53">
        <f>O36/N36</f>
        <v>0.16822429906542055</v>
      </c>
      <c r="P37" s="47">
        <f>P36/N36</f>
        <v>1.02803738317757</v>
      </c>
      <c r="Q37" s="53">
        <f>Q36/P36</f>
        <v>0.24545454545454545</v>
      </c>
    </row>
    <row r="38" spans="1:17" ht="22.5" x14ac:dyDescent="0.15">
      <c r="A38" s="129" t="s">
        <v>224</v>
      </c>
      <c r="B38" s="148" t="s">
        <v>225</v>
      </c>
      <c r="C38" s="118" t="s">
        <v>21</v>
      </c>
      <c r="D38" s="23"/>
      <c r="E38" s="7"/>
      <c r="F38" s="23"/>
      <c r="G38" s="7"/>
      <c r="H38" s="26">
        <v>85</v>
      </c>
      <c r="I38" s="52">
        <v>1</v>
      </c>
      <c r="J38" s="26">
        <v>84</v>
      </c>
      <c r="K38" s="52">
        <v>2</v>
      </c>
      <c r="L38" s="26">
        <v>87</v>
      </c>
      <c r="M38" s="52">
        <v>0</v>
      </c>
      <c r="N38" s="27">
        <v>71</v>
      </c>
      <c r="O38" s="59">
        <v>0</v>
      </c>
      <c r="P38" s="28">
        <v>64</v>
      </c>
      <c r="Q38" s="62">
        <v>1</v>
      </c>
    </row>
    <row r="39" spans="1:17" ht="19.5" customHeight="1" thickBot="1" x14ac:dyDescent="0.2">
      <c r="A39" s="124"/>
      <c r="B39" s="149"/>
      <c r="C39" s="119"/>
      <c r="D39" s="100"/>
      <c r="E39" s="97"/>
      <c r="F39" s="100"/>
      <c r="G39" s="97"/>
      <c r="H39" s="19"/>
      <c r="I39" s="53">
        <f>I38/H38</f>
        <v>1.1764705882352941E-2</v>
      </c>
      <c r="J39" s="47">
        <f>J38/H38</f>
        <v>0.9882352941176471</v>
      </c>
      <c r="K39" s="53">
        <f>K38/J38</f>
        <v>2.3809523809523808E-2</v>
      </c>
      <c r="L39" s="47">
        <f>L38/J38</f>
        <v>1.0357142857142858</v>
      </c>
      <c r="M39" s="53">
        <f>M38/L38</f>
        <v>0</v>
      </c>
      <c r="N39" s="47">
        <f>N38/L38</f>
        <v>0.81609195402298851</v>
      </c>
      <c r="O39" s="53">
        <f>O38/N38</f>
        <v>0</v>
      </c>
      <c r="P39" s="47">
        <f>P38/N38</f>
        <v>0.90140845070422537</v>
      </c>
      <c r="Q39" s="53">
        <f>Q38/P38</f>
        <v>1.5625E-2</v>
      </c>
    </row>
    <row r="40" spans="1:17" ht="22.5" x14ac:dyDescent="0.15">
      <c r="A40" s="106" t="s">
        <v>80</v>
      </c>
      <c r="B40" s="108" t="s">
        <v>364</v>
      </c>
      <c r="C40" s="118" t="s">
        <v>153</v>
      </c>
      <c r="D40" s="23"/>
      <c r="E40" s="7"/>
      <c r="F40" s="23"/>
      <c r="G40" s="7"/>
      <c r="H40" s="23"/>
      <c r="I40" s="7"/>
      <c r="J40" s="23"/>
      <c r="K40" s="7"/>
      <c r="L40" s="23"/>
      <c r="M40" s="7"/>
      <c r="N40" s="23"/>
      <c r="O40" s="7"/>
      <c r="P40" s="27">
        <v>76</v>
      </c>
      <c r="Q40" s="59">
        <v>0</v>
      </c>
    </row>
    <row r="41" spans="1:17" ht="19.5" thickBot="1" x14ac:dyDescent="0.2">
      <c r="A41" s="107"/>
      <c r="B41" s="107"/>
      <c r="C41" s="119"/>
      <c r="D41" s="100"/>
      <c r="E41" s="97"/>
      <c r="F41" s="100"/>
      <c r="G41" s="97"/>
      <c r="H41" s="100"/>
      <c r="I41" s="97"/>
      <c r="J41" s="100"/>
      <c r="K41" s="97"/>
      <c r="L41" s="100"/>
      <c r="M41" s="97"/>
      <c r="N41" s="100"/>
      <c r="O41" s="97"/>
      <c r="P41" s="19"/>
      <c r="Q41" s="53">
        <v>3.3333333333333333E-2</v>
      </c>
    </row>
    <row r="46" spans="1:17" ht="19.5" customHeight="1" x14ac:dyDescent="0.15"/>
    <row r="52" ht="19.5" customHeight="1" x14ac:dyDescent="0.15"/>
    <row r="62" ht="19.5" customHeight="1" x14ac:dyDescent="0.15"/>
    <row r="66" ht="19.5" customHeight="1" x14ac:dyDescent="0.15"/>
    <row r="76" ht="19.5" customHeight="1" x14ac:dyDescent="0.15"/>
    <row r="80" ht="18.75" customHeight="1" x14ac:dyDescent="0.15"/>
    <row r="82" ht="18.75" customHeight="1" x14ac:dyDescent="0.15"/>
    <row r="84" ht="18.75" customHeight="1" x14ac:dyDescent="0.15"/>
    <row r="88" ht="18.75" customHeight="1" x14ac:dyDescent="0.15"/>
    <row r="90" ht="18.75" customHeight="1" x14ac:dyDescent="0.15"/>
    <row r="92" ht="18.75" customHeight="1" x14ac:dyDescent="0.15"/>
    <row r="94" ht="18.75" customHeight="1" x14ac:dyDescent="0.15"/>
    <row r="96" ht="18.75" customHeight="1" x14ac:dyDescent="0.15"/>
  </sheetData>
  <mergeCells count="79">
    <mergeCell ref="H41:I41"/>
    <mergeCell ref="J41:K41"/>
    <mergeCell ref="L41:M41"/>
    <mergeCell ref="N41:O41"/>
    <mergeCell ref="A40:A41"/>
    <mergeCell ref="B40:B41"/>
    <mergeCell ref="C40:C41"/>
    <mergeCell ref="D41:E41"/>
    <mergeCell ref="F41:G41"/>
    <mergeCell ref="B32:B33"/>
    <mergeCell ref="C32:C33"/>
    <mergeCell ref="A32:A37"/>
    <mergeCell ref="D39:E39"/>
    <mergeCell ref="F39:G39"/>
    <mergeCell ref="A38:A39"/>
    <mergeCell ref="B38:B39"/>
    <mergeCell ref="C38:C39"/>
    <mergeCell ref="B36:B37"/>
    <mergeCell ref="C36:C37"/>
    <mergeCell ref="B34:B35"/>
    <mergeCell ref="C34:C35"/>
    <mergeCell ref="P3:Q3"/>
    <mergeCell ref="D3:E3"/>
    <mergeCell ref="F3:G3"/>
    <mergeCell ref="H3:I3"/>
    <mergeCell ref="J3:K3"/>
    <mergeCell ref="L3:M3"/>
    <mergeCell ref="N3:O3"/>
    <mergeCell ref="B8:B9"/>
    <mergeCell ref="C8:C9"/>
    <mergeCell ref="B6:B7"/>
    <mergeCell ref="C6:C7"/>
    <mergeCell ref="A6:A9"/>
    <mergeCell ref="B14:B15"/>
    <mergeCell ref="C14:C15"/>
    <mergeCell ref="B12:B13"/>
    <mergeCell ref="C12:C13"/>
    <mergeCell ref="A14:A15"/>
    <mergeCell ref="A10:A13"/>
    <mergeCell ref="B10:B11"/>
    <mergeCell ref="C10:C11"/>
    <mergeCell ref="D19:E19"/>
    <mergeCell ref="F19:G19"/>
    <mergeCell ref="B16:B17"/>
    <mergeCell ref="C16:C17"/>
    <mergeCell ref="D17:E17"/>
    <mergeCell ref="F17:G17"/>
    <mergeCell ref="F25:G25"/>
    <mergeCell ref="J25:K25"/>
    <mergeCell ref="B20:B21"/>
    <mergeCell ref="C20:C21"/>
    <mergeCell ref="D21:E21"/>
    <mergeCell ref="F21:G21"/>
    <mergeCell ref="F23:G23"/>
    <mergeCell ref="D23:E23"/>
    <mergeCell ref="B24:B25"/>
    <mergeCell ref="C24:C25"/>
    <mergeCell ref="A28:A31"/>
    <mergeCell ref="B28:B29"/>
    <mergeCell ref="C28:C29"/>
    <mergeCell ref="D29:E29"/>
    <mergeCell ref="F29:G29"/>
    <mergeCell ref="F31:G31"/>
    <mergeCell ref="B30:B31"/>
    <mergeCell ref="C30:C31"/>
    <mergeCell ref="D31:E31"/>
    <mergeCell ref="J27:K27"/>
    <mergeCell ref="L27:M27"/>
    <mergeCell ref="B26:B27"/>
    <mergeCell ref="C26:C27"/>
    <mergeCell ref="D27:E27"/>
    <mergeCell ref="F27:G27"/>
    <mergeCell ref="A24:A27"/>
    <mergeCell ref="A20:A23"/>
    <mergeCell ref="A16:A19"/>
    <mergeCell ref="B22:B23"/>
    <mergeCell ref="C22:C23"/>
    <mergeCell ref="B18:B19"/>
    <mergeCell ref="C18:C19"/>
  </mergeCells>
  <phoneticPr fontId="2"/>
  <conditionalFormatting sqref="P39 N39 L39 J39 F37 H37 J37 L37 N37 P37 P35 N35 L35 J35 H35 F35 J31 L31 N31 P31 N27 P27 P29 N29 L29 J29 H25 L25 N25 P25 P23 N23 L23 J23 J21 L21 N21 P21 P19 N19 L19 J19 J17 L17 N17 P17 P15 N15 L15 J15 H15 H13 J13 L13 N13 P13 P11 N11 L11 J11 H11 H9 J9 L9 N9 P9 P7 N7 L7 J7 H7 F15 F13 F11 F9 F7">
    <cfRule type="cellIs" dxfId="37" priority="5" operator="lessThan">
      <formula>1</formula>
    </cfRule>
    <cfRule type="cellIs" dxfId="36" priority="6" operator="greaterThanOrEqual">
      <formula>1</formula>
    </cfRule>
  </conditionalFormatting>
  <conditionalFormatting sqref="P33 N33 L33 J33 H33 F33">
    <cfRule type="cellIs" dxfId="35" priority="3" operator="lessThan">
      <formula>1</formula>
    </cfRule>
    <cfRule type="cellIs" dxfId="34" priority="4" operator="greaterThanOrEqual">
      <formula>1</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2EFE-ED81-4AC3-8843-67520E88A7F3}">
  <dimension ref="A1:Q40"/>
  <sheetViews>
    <sheetView showGridLines="0" topLeftCell="A19" zoomScale="80" zoomScaleNormal="80" workbookViewId="0">
      <selection activeCell="Q38" sqref="Q38"/>
    </sheetView>
  </sheetViews>
  <sheetFormatPr defaultRowHeight="18.75" x14ac:dyDescent="0.15"/>
  <cols>
    <col min="1" max="1" width="22.125" style="1" bestFit="1" customWidth="1"/>
    <col min="2" max="2" width="29.125" style="2" customWidth="1"/>
    <col min="3" max="3" width="8.625" style="2" customWidth="1"/>
    <col min="4" max="4" width="8.5" style="1" bestFit="1" customWidth="1"/>
    <col min="5" max="5" width="7.625" style="1" bestFit="1" customWidth="1"/>
    <col min="6" max="6" width="9.75" style="1" bestFit="1" customWidth="1"/>
    <col min="7" max="7" width="7.625" style="1" bestFit="1" customWidth="1"/>
    <col min="8" max="8" width="9.75" style="1" bestFit="1" customWidth="1"/>
    <col min="9" max="9" width="7.625" style="1" bestFit="1" customWidth="1"/>
    <col min="10" max="10" width="9.75" style="1" bestFit="1" customWidth="1"/>
    <col min="11" max="11" width="7.625" style="1" bestFit="1" customWidth="1"/>
    <col min="12" max="12" width="9.75" style="1" bestFit="1" customWidth="1"/>
    <col min="13" max="13" width="7.625" style="1" bestFit="1" customWidth="1"/>
    <col min="14" max="14" width="9.75" style="1" bestFit="1" customWidth="1"/>
    <col min="15" max="15" width="7.625" style="1" bestFit="1" customWidth="1"/>
    <col min="16" max="16" width="9.625" style="1" bestFit="1" customWidth="1"/>
    <col min="17" max="17" width="7.625" style="1" bestFit="1" customWidth="1"/>
    <col min="18" max="16384" width="9" style="1"/>
  </cols>
  <sheetData>
    <row r="1" spans="1:17" ht="33.75" customHeight="1" thickBot="1" x14ac:dyDescent="0.2"/>
    <row r="2" spans="1:17" ht="19.5" thickBot="1" x14ac:dyDescent="0.2">
      <c r="D2" s="94">
        <v>2019</v>
      </c>
      <c r="E2" s="95"/>
      <c r="F2" s="94">
        <v>2020</v>
      </c>
      <c r="G2" s="95"/>
      <c r="H2" s="94">
        <v>2021</v>
      </c>
      <c r="I2" s="95"/>
      <c r="J2" s="94">
        <v>2022</v>
      </c>
      <c r="K2" s="95"/>
      <c r="L2" s="94">
        <v>2023</v>
      </c>
      <c r="M2" s="95"/>
      <c r="N2" s="94">
        <v>2024</v>
      </c>
      <c r="O2" s="95"/>
      <c r="P2" s="94">
        <v>2025</v>
      </c>
      <c r="Q2" s="95"/>
    </row>
    <row r="3" spans="1:17" s="48" customFormat="1" x14ac:dyDescent="0.15">
      <c r="B3" s="2"/>
      <c r="C3" s="2"/>
      <c r="D3" s="64" t="s">
        <v>213</v>
      </c>
      <c r="E3" s="14" t="s">
        <v>214</v>
      </c>
      <c r="F3" s="64" t="s">
        <v>213</v>
      </c>
      <c r="G3" s="14" t="s">
        <v>214</v>
      </c>
      <c r="H3" s="64" t="s">
        <v>213</v>
      </c>
      <c r="I3" s="14" t="s">
        <v>214</v>
      </c>
      <c r="J3" s="64" t="s">
        <v>213</v>
      </c>
      <c r="K3" s="14" t="s">
        <v>214</v>
      </c>
      <c r="L3" s="64" t="s">
        <v>213</v>
      </c>
      <c r="M3" s="14" t="s">
        <v>214</v>
      </c>
      <c r="N3" s="64" t="s">
        <v>213</v>
      </c>
      <c r="O3" s="14" t="s">
        <v>214</v>
      </c>
      <c r="P3" s="64" t="s">
        <v>213</v>
      </c>
      <c r="Q3" s="14" t="s">
        <v>214</v>
      </c>
    </row>
    <row r="4" spans="1:17" s="12" customFormat="1" ht="38.25" thickBot="1" x14ac:dyDescent="0.2">
      <c r="B4" s="13"/>
      <c r="C4" s="13"/>
      <c r="D4" s="15" t="s">
        <v>211</v>
      </c>
      <c r="E4" s="49" t="s">
        <v>212</v>
      </c>
      <c r="F4" s="15" t="s">
        <v>211</v>
      </c>
      <c r="G4" s="49" t="s">
        <v>212</v>
      </c>
      <c r="H4" s="15" t="s">
        <v>211</v>
      </c>
      <c r="I4" s="49" t="s">
        <v>212</v>
      </c>
      <c r="J4" s="15" t="s">
        <v>211</v>
      </c>
      <c r="K4" s="49" t="s">
        <v>212</v>
      </c>
      <c r="L4" s="15" t="s">
        <v>211</v>
      </c>
      <c r="M4" s="49" t="s">
        <v>212</v>
      </c>
      <c r="N4" s="15" t="s">
        <v>211</v>
      </c>
      <c r="O4" s="49" t="s">
        <v>212</v>
      </c>
      <c r="P4" s="15" t="s">
        <v>211</v>
      </c>
      <c r="Q4" s="49" t="s">
        <v>212</v>
      </c>
    </row>
    <row r="5" spans="1:17" ht="22.5" x14ac:dyDescent="0.15">
      <c r="A5" s="139" t="s">
        <v>0</v>
      </c>
      <c r="B5" s="141" t="s">
        <v>84</v>
      </c>
      <c r="C5" s="142" t="s">
        <v>14</v>
      </c>
      <c r="D5" s="25">
        <v>488</v>
      </c>
      <c r="E5" s="82">
        <v>12</v>
      </c>
      <c r="F5" s="25">
        <v>498</v>
      </c>
      <c r="G5" s="50">
        <v>11</v>
      </c>
      <c r="H5" s="25">
        <v>507</v>
      </c>
      <c r="I5" s="50">
        <v>13</v>
      </c>
      <c r="J5" s="25">
        <v>500</v>
      </c>
      <c r="K5" s="50">
        <v>12</v>
      </c>
      <c r="L5" s="25">
        <v>478</v>
      </c>
      <c r="M5" s="50">
        <v>8</v>
      </c>
      <c r="N5" s="25">
        <v>434</v>
      </c>
      <c r="O5" s="50">
        <v>6</v>
      </c>
      <c r="P5" s="25">
        <v>443</v>
      </c>
      <c r="Q5" s="50">
        <v>10</v>
      </c>
    </row>
    <row r="6" spans="1:17" ht="19.5" thickBot="1" x14ac:dyDescent="0.2">
      <c r="A6" s="131"/>
      <c r="B6" s="112"/>
      <c r="C6" s="143"/>
      <c r="D6" s="24"/>
      <c r="E6" s="51">
        <f>E5/D5</f>
        <v>2.4590163934426229E-2</v>
      </c>
      <c r="F6" s="16">
        <f>F5/D5</f>
        <v>1.0204918032786885</v>
      </c>
      <c r="G6" s="57">
        <f>G5/F5</f>
        <v>2.2088353413654619E-2</v>
      </c>
      <c r="H6" s="16">
        <f>H5/F5</f>
        <v>1.0180722891566265</v>
      </c>
      <c r="I6" s="57">
        <f>I5/H5</f>
        <v>2.564102564102564E-2</v>
      </c>
      <c r="J6" s="16">
        <f>J5/H5</f>
        <v>0.98619329388560162</v>
      </c>
      <c r="K6" s="57">
        <f>K5/J5</f>
        <v>2.4E-2</v>
      </c>
      <c r="L6" s="16">
        <f>L5/J5</f>
        <v>0.95599999999999996</v>
      </c>
      <c r="M6" s="57">
        <f>M5/L5</f>
        <v>1.6736401673640166E-2</v>
      </c>
      <c r="N6" s="16">
        <f>N5/L5</f>
        <v>0.90794979079497906</v>
      </c>
      <c r="O6" s="57">
        <f>O5/N5</f>
        <v>1.3824884792626729E-2</v>
      </c>
      <c r="P6" s="16">
        <f>P5/N5</f>
        <v>1.0207373271889402</v>
      </c>
      <c r="Q6" s="57">
        <f>Q5/P5</f>
        <v>2.2573363431151242E-2</v>
      </c>
    </row>
    <row r="7" spans="1:17" s="5" customFormat="1" ht="22.5" x14ac:dyDescent="0.15">
      <c r="A7" s="131"/>
      <c r="B7" s="111" t="s">
        <v>85</v>
      </c>
      <c r="C7" s="150" t="s">
        <v>21</v>
      </c>
      <c r="D7" s="25">
        <v>292</v>
      </c>
      <c r="E7" s="50">
        <v>50</v>
      </c>
      <c r="F7" s="25">
        <v>270</v>
      </c>
      <c r="G7" s="50">
        <v>34</v>
      </c>
      <c r="H7" s="25">
        <v>264</v>
      </c>
      <c r="I7" s="50">
        <v>17</v>
      </c>
      <c r="J7" s="25">
        <v>219</v>
      </c>
      <c r="K7" s="50">
        <v>14</v>
      </c>
      <c r="L7" s="25">
        <v>172</v>
      </c>
      <c r="M7" s="50">
        <v>20</v>
      </c>
      <c r="N7" s="25">
        <v>130</v>
      </c>
      <c r="O7" s="50">
        <v>27</v>
      </c>
      <c r="P7" s="25">
        <v>87</v>
      </c>
      <c r="Q7" s="50">
        <v>29</v>
      </c>
    </row>
    <row r="8" spans="1:17" ht="19.5" thickBot="1" x14ac:dyDescent="0.2">
      <c r="A8" s="140"/>
      <c r="B8" s="112"/>
      <c r="C8" s="151"/>
      <c r="D8" s="24"/>
      <c r="E8" s="57">
        <f>E7/D7</f>
        <v>0.17123287671232876</v>
      </c>
      <c r="F8" s="16">
        <f>F7/D7</f>
        <v>0.92465753424657537</v>
      </c>
      <c r="G8" s="57">
        <f>G7/F7</f>
        <v>0.12592592592592591</v>
      </c>
      <c r="H8" s="16">
        <f>H7/F7</f>
        <v>0.97777777777777775</v>
      </c>
      <c r="I8" s="57">
        <f>I7/H7</f>
        <v>6.4393939393939392E-2</v>
      </c>
      <c r="J8" s="16">
        <f>J7/H7</f>
        <v>0.82954545454545459</v>
      </c>
      <c r="K8" s="57">
        <f>K7/J7</f>
        <v>6.3926940639269403E-2</v>
      </c>
      <c r="L8" s="16">
        <f>L7/J7</f>
        <v>0.78538812785388123</v>
      </c>
      <c r="M8" s="57">
        <f>M7/L7</f>
        <v>0.11627906976744186</v>
      </c>
      <c r="N8" s="16">
        <f>N7/L7</f>
        <v>0.7558139534883721</v>
      </c>
      <c r="O8" s="57">
        <f>O7/N7</f>
        <v>0.2076923076923077</v>
      </c>
      <c r="P8" s="16">
        <f>P7/N7</f>
        <v>0.66923076923076918</v>
      </c>
      <c r="Q8" s="57">
        <f>Q7/P7</f>
        <v>0.33333333333333331</v>
      </c>
    </row>
    <row r="9" spans="1:17" ht="18.75" customHeight="1" x14ac:dyDescent="0.15">
      <c r="A9" s="139" t="s">
        <v>1</v>
      </c>
      <c r="B9" s="141" t="s">
        <v>84</v>
      </c>
      <c r="C9" s="150" t="s">
        <v>14</v>
      </c>
      <c r="D9" s="25">
        <v>323</v>
      </c>
      <c r="E9" s="50">
        <v>6</v>
      </c>
      <c r="F9" s="25">
        <v>374</v>
      </c>
      <c r="G9" s="50">
        <v>4</v>
      </c>
      <c r="H9" s="25">
        <v>393</v>
      </c>
      <c r="I9" s="50">
        <v>1</v>
      </c>
      <c r="J9" s="25">
        <v>425</v>
      </c>
      <c r="K9" s="50">
        <v>2</v>
      </c>
      <c r="L9" s="25">
        <v>391</v>
      </c>
      <c r="M9" s="50">
        <v>2</v>
      </c>
      <c r="N9" s="25">
        <v>350</v>
      </c>
      <c r="O9" s="50">
        <v>3</v>
      </c>
      <c r="P9" s="25">
        <v>303</v>
      </c>
      <c r="Q9" s="50">
        <v>6</v>
      </c>
    </row>
    <row r="10" spans="1:17" ht="19.5" thickBot="1" x14ac:dyDescent="0.2">
      <c r="A10" s="131"/>
      <c r="B10" s="112"/>
      <c r="C10" s="151"/>
      <c r="D10" s="24"/>
      <c r="E10" s="57">
        <f>E9/D9</f>
        <v>1.8575851393188854E-2</v>
      </c>
      <c r="F10" s="16">
        <f>F9/D9</f>
        <v>1.1578947368421053</v>
      </c>
      <c r="G10" s="57">
        <f>G9/F9</f>
        <v>1.06951871657754E-2</v>
      </c>
      <c r="H10" s="16">
        <f>H9/F9</f>
        <v>1.0508021390374331</v>
      </c>
      <c r="I10" s="57">
        <f>I9/H9</f>
        <v>2.5445292620865142E-3</v>
      </c>
      <c r="J10" s="16">
        <f>J9/H9</f>
        <v>1.0814249363867685</v>
      </c>
      <c r="K10" s="57">
        <f>K9/J9</f>
        <v>4.7058823529411761E-3</v>
      </c>
      <c r="L10" s="16">
        <f>L9/J9</f>
        <v>0.92</v>
      </c>
      <c r="M10" s="57">
        <f>M9/L9</f>
        <v>5.1150895140664966E-3</v>
      </c>
      <c r="N10" s="16">
        <f>N9/L9</f>
        <v>0.8951406649616368</v>
      </c>
      <c r="O10" s="57">
        <f>O9/N9</f>
        <v>8.5714285714285719E-3</v>
      </c>
      <c r="P10" s="16">
        <f>P9/N9</f>
        <v>0.86571428571428577</v>
      </c>
      <c r="Q10" s="57">
        <f>Q9/P9</f>
        <v>1.9801980198019802E-2</v>
      </c>
    </row>
    <row r="11" spans="1:17" s="5" customFormat="1" ht="22.5" x14ac:dyDescent="0.15">
      <c r="A11" s="131"/>
      <c r="B11" s="111" t="s">
        <v>85</v>
      </c>
      <c r="C11" s="142" t="s">
        <v>21</v>
      </c>
      <c r="D11" s="25">
        <v>183</v>
      </c>
      <c r="E11" s="50">
        <v>6</v>
      </c>
      <c r="F11" s="25">
        <v>190</v>
      </c>
      <c r="G11" s="50">
        <v>12</v>
      </c>
      <c r="H11" s="25">
        <v>222</v>
      </c>
      <c r="I11" s="50">
        <v>7</v>
      </c>
      <c r="J11" s="25">
        <v>227</v>
      </c>
      <c r="K11" s="50">
        <v>13</v>
      </c>
      <c r="L11" s="25">
        <v>175</v>
      </c>
      <c r="M11" s="50">
        <v>14</v>
      </c>
      <c r="N11" s="25">
        <v>113</v>
      </c>
      <c r="O11" s="50">
        <v>14</v>
      </c>
      <c r="P11" s="25">
        <v>86</v>
      </c>
      <c r="Q11" s="50">
        <v>17</v>
      </c>
    </row>
    <row r="12" spans="1:17" ht="19.5" thickBot="1" x14ac:dyDescent="0.2">
      <c r="A12" s="140"/>
      <c r="B12" s="112"/>
      <c r="C12" s="143"/>
      <c r="D12" s="17"/>
      <c r="E12" s="57">
        <v>3.2786885245901641E-2</v>
      </c>
      <c r="F12" s="16">
        <f>F11/D11</f>
        <v>1.0382513661202186</v>
      </c>
      <c r="G12" s="57">
        <v>6.3157894736842107E-2</v>
      </c>
      <c r="H12" s="16">
        <f>H11/F11</f>
        <v>1.168421052631579</v>
      </c>
      <c r="I12" s="57">
        <v>3.1531531531531529E-2</v>
      </c>
      <c r="J12" s="16">
        <f>J11/H11</f>
        <v>1.0225225225225225</v>
      </c>
      <c r="K12" s="57">
        <v>5.7268722466960353E-2</v>
      </c>
      <c r="L12" s="16">
        <f>L11/J11</f>
        <v>0.77092511013215859</v>
      </c>
      <c r="M12" s="57">
        <v>0.08</v>
      </c>
      <c r="N12" s="16">
        <f>N11/L11</f>
        <v>0.64571428571428569</v>
      </c>
      <c r="O12" s="57">
        <v>0.12389380530973451</v>
      </c>
      <c r="P12" s="16">
        <f>P11/N11</f>
        <v>0.76106194690265483</v>
      </c>
      <c r="Q12" s="57">
        <f>Q11/P11</f>
        <v>0.19767441860465115</v>
      </c>
    </row>
    <row r="13" spans="1:17" ht="18.75" customHeight="1" x14ac:dyDescent="0.15">
      <c r="A13" s="104" t="s">
        <v>76</v>
      </c>
      <c r="B13" s="108" t="s">
        <v>15</v>
      </c>
      <c r="C13" s="118" t="s">
        <v>14</v>
      </c>
      <c r="D13" s="26">
        <v>1273</v>
      </c>
      <c r="E13" s="52">
        <v>399</v>
      </c>
      <c r="F13" s="26">
        <v>1172</v>
      </c>
      <c r="G13" s="52">
        <v>264</v>
      </c>
      <c r="H13" s="26">
        <v>1309</v>
      </c>
      <c r="I13" s="52">
        <v>241</v>
      </c>
      <c r="J13" s="26">
        <v>1366</v>
      </c>
      <c r="K13" s="52">
        <v>210</v>
      </c>
      <c r="L13" s="26">
        <v>1376</v>
      </c>
      <c r="M13" s="52">
        <v>159</v>
      </c>
      <c r="N13" s="26">
        <v>1296</v>
      </c>
      <c r="O13" s="52">
        <v>170</v>
      </c>
      <c r="P13" s="26">
        <v>1255</v>
      </c>
      <c r="Q13" s="52">
        <v>211</v>
      </c>
    </row>
    <row r="14" spans="1:17" ht="19.5" thickBot="1" x14ac:dyDescent="0.2">
      <c r="A14" s="117"/>
      <c r="B14" s="107"/>
      <c r="C14" s="119"/>
      <c r="D14" s="19"/>
      <c r="E14" s="53">
        <f>E13/D13</f>
        <v>0.31343283582089554</v>
      </c>
      <c r="F14" s="47">
        <f>F13/D13</f>
        <v>0.92065985860172816</v>
      </c>
      <c r="G14" s="53">
        <f>G13/F13</f>
        <v>0.22525597269624573</v>
      </c>
      <c r="H14" s="47">
        <f>H13/F13</f>
        <v>1.1168941979522184</v>
      </c>
      <c r="I14" s="53">
        <f>I13/H13</f>
        <v>0.1841100076394194</v>
      </c>
      <c r="J14" s="47">
        <f>J13/H13</f>
        <v>1.0435446906035142</v>
      </c>
      <c r="K14" s="53">
        <f>K13/J13</f>
        <v>0.15373352855051245</v>
      </c>
      <c r="L14" s="47">
        <f>L13/J13</f>
        <v>1.0073206442166911</v>
      </c>
      <c r="M14" s="53">
        <f>M13/L13</f>
        <v>0.11555232558139535</v>
      </c>
      <c r="N14" s="47">
        <f>N13/L13</f>
        <v>0.94186046511627908</v>
      </c>
      <c r="O14" s="53">
        <f>O13/N13</f>
        <v>0.13117283950617284</v>
      </c>
      <c r="P14" s="47">
        <f>P13/N13</f>
        <v>0.96836419753086422</v>
      </c>
      <c r="Q14" s="83">
        <f>Q13/P13</f>
        <v>0.16812749003984065</v>
      </c>
    </row>
    <row r="15" spans="1:17" ht="18.75" customHeight="1" x14ac:dyDescent="0.15">
      <c r="A15" s="117"/>
      <c r="B15" s="106" t="s">
        <v>18</v>
      </c>
      <c r="C15" s="118" t="s">
        <v>21</v>
      </c>
      <c r="D15" s="26">
        <v>251</v>
      </c>
      <c r="E15" s="52">
        <v>90</v>
      </c>
      <c r="F15" s="26">
        <v>216</v>
      </c>
      <c r="G15" s="52">
        <v>77</v>
      </c>
      <c r="H15" s="26">
        <v>176</v>
      </c>
      <c r="I15" s="52">
        <v>56</v>
      </c>
      <c r="J15" s="26">
        <v>152</v>
      </c>
      <c r="K15" s="52">
        <v>46</v>
      </c>
      <c r="L15" s="26">
        <v>141</v>
      </c>
      <c r="M15" s="52">
        <v>48</v>
      </c>
      <c r="N15" s="26">
        <v>151</v>
      </c>
      <c r="O15" s="52">
        <v>75</v>
      </c>
      <c r="P15" s="26">
        <v>158</v>
      </c>
      <c r="Q15" s="52">
        <v>95</v>
      </c>
    </row>
    <row r="16" spans="1:17" ht="19.5" thickBot="1" x14ac:dyDescent="0.2">
      <c r="A16" s="105"/>
      <c r="B16" s="107"/>
      <c r="C16" s="119"/>
      <c r="D16" s="19"/>
      <c r="E16" s="53">
        <f>E15/D15</f>
        <v>0.35856573705179284</v>
      </c>
      <c r="F16" s="47">
        <f>F15/D15</f>
        <v>0.8605577689243028</v>
      </c>
      <c r="G16" s="53">
        <f>G15/F15</f>
        <v>0.35648148148148145</v>
      </c>
      <c r="H16" s="47">
        <f>H15/F15</f>
        <v>0.81481481481481477</v>
      </c>
      <c r="I16" s="53">
        <f>I15/H15</f>
        <v>0.31818181818181818</v>
      </c>
      <c r="J16" s="47">
        <f>J15/H15</f>
        <v>0.86363636363636365</v>
      </c>
      <c r="K16" s="53">
        <f>K15/J15</f>
        <v>0.30263157894736842</v>
      </c>
      <c r="L16" s="47">
        <f>L15/J15</f>
        <v>0.92763157894736847</v>
      </c>
      <c r="M16" s="53">
        <f>M15/L15</f>
        <v>0.34042553191489361</v>
      </c>
      <c r="N16" s="47">
        <f>N15/L15</f>
        <v>1.0709219858156029</v>
      </c>
      <c r="O16" s="53">
        <f>O15/N15</f>
        <v>0.49668874172185429</v>
      </c>
      <c r="P16" s="47">
        <f>P15/N15</f>
        <v>1.0463576158940397</v>
      </c>
      <c r="Q16" s="83">
        <f>Q15/P15</f>
        <v>0.60126582278481011</v>
      </c>
    </row>
    <row r="17" spans="1:17" ht="18.75" customHeight="1" x14ac:dyDescent="0.15">
      <c r="A17" s="129" t="s">
        <v>77</v>
      </c>
      <c r="B17" s="108" t="s">
        <v>31</v>
      </c>
      <c r="C17" s="118" t="s">
        <v>38</v>
      </c>
      <c r="D17" s="23"/>
      <c r="E17" s="7"/>
      <c r="F17" s="23"/>
      <c r="G17" s="7"/>
      <c r="H17" s="26">
        <v>299</v>
      </c>
      <c r="I17" s="52">
        <v>65</v>
      </c>
      <c r="J17" s="26">
        <v>320</v>
      </c>
      <c r="K17" s="52">
        <v>54</v>
      </c>
      <c r="L17" s="26">
        <v>311</v>
      </c>
      <c r="M17" s="52">
        <v>34</v>
      </c>
      <c r="N17" s="26">
        <v>313</v>
      </c>
      <c r="O17" s="52">
        <v>32</v>
      </c>
      <c r="P17" s="26">
        <v>294</v>
      </c>
      <c r="Q17" s="52">
        <v>43</v>
      </c>
    </row>
    <row r="18" spans="1:17" ht="19.5" thickBot="1" x14ac:dyDescent="0.2">
      <c r="A18" s="123"/>
      <c r="B18" s="107"/>
      <c r="C18" s="119"/>
      <c r="D18" s="102"/>
      <c r="E18" s="103"/>
      <c r="F18" s="102"/>
      <c r="G18" s="103"/>
      <c r="H18" s="17"/>
      <c r="I18" s="83">
        <v>0.21739130434782608</v>
      </c>
      <c r="J18" s="47">
        <f>J17/H17</f>
        <v>1.0702341137123745</v>
      </c>
      <c r="K18" s="83">
        <v>0.16875000000000001</v>
      </c>
      <c r="L18" s="47">
        <f>L17/J17</f>
        <v>0.97187500000000004</v>
      </c>
      <c r="M18" s="83">
        <v>0.10932475884244373</v>
      </c>
      <c r="N18" s="47">
        <f>N17/L17</f>
        <v>1.0064308681672025</v>
      </c>
      <c r="O18" s="83">
        <v>0.10223642172523961</v>
      </c>
      <c r="P18" s="47">
        <f>P17/N17</f>
        <v>0.93929712460063897</v>
      </c>
      <c r="Q18" s="83">
        <f>Q17/P17</f>
        <v>0.14625850340136054</v>
      </c>
    </row>
    <row r="19" spans="1:17" ht="22.5" x14ac:dyDescent="0.15">
      <c r="A19" s="123"/>
      <c r="B19" s="108" t="s">
        <v>30</v>
      </c>
      <c r="C19" s="118" t="s">
        <v>21</v>
      </c>
      <c r="D19" s="23"/>
      <c r="E19" s="7"/>
      <c r="F19" s="23"/>
      <c r="G19" s="7"/>
      <c r="H19" s="26">
        <v>395</v>
      </c>
      <c r="I19" s="52">
        <v>34</v>
      </c>
      <c r="J19" s="26">
        <v>399</v>
      </c>
      <c r="K19" s="52">
        <v>27</v>
      </c>
      <c r="L19" s="26">
        <v>379</v>
      </c>
      <c r="M19" s="52">
        <v>46</v>
      </c>
      <c r="N19" s="26">
        <v>346</v>
      </c>
      <c r="O19" s="52">
        <v>68</v>
      </c>
      <c r="P19" s="26">
        <v>323</v>
      </c>
      <c r="Q19" s="52">
        <v>83</v>
      </c>
    </row>
    <row r="20" spans="1:17" ht="19.5" thickBot="1" x14ac:dyDescent="0.2">
      <c r="A20" s="123"/>
      <c r="B20" s="107"/>
      <c r="C20" s="119"/>
      <c r="D20" s="102"/>
      <c r="E20" s="103"/>
      <c r="F20" s="102"/>
      <c r="G20" s="103"/>
      <c r="H20" s="17"/>
      <c r="I20" s="83">
        <v>8.6075949367088608E-2</v>
      </c>
      <c r="J20" s="47">
        <f>J19/H19</f>
        <v>1.0101265822784811</v>
      </c>
      <c r="K20" s="83">
        <v>6.7669172932330823E-2</v>
      </c>
      <c r="L20" s="47">
        <f>L19/J19</f>
        <v>0.94987468671679198</v>
      </c>
      <c r="M20" s="83">
        <v>0.12137203166226913</v>
      </c>
      <c r="N20" s="47">
        <f>N19/L19</f>
        <v>0.9129287598944591</v>
      </c>
      <c r="O20" s="83">
        <v>0.19653179190751446</v>
      </c>
      <c r="P20" s="47">
        <f>P19/N19</f>
        <v>0.93352601156069359</v>
      </c>
      <c r="Q20" s="83">
        <f>Q19/P19</f>
        <v>0.25696594427244585</v>
      </c>
    </row>
    <row r="21" spans="1:17" ht="18.75" customHeight="1" x14ac:dyDescent="0.15">
      <c r="A21" s="123"/>
      <c r="B21" s="106" t="s">
        <v>37</v>
      </c>
      <c r="C21" s="118" t="s">
        <v>21</v>
      </c>
      <c r="D21" s="23"/>
      <c r="E21" s="7"/>
      <c r="F21" s="23"/>
      <c r="G21" s="7"/>
      <c r="H21" s="26">
        <v>77</v>
      </c>
      <c r="I21" s="52">
        <v>20</v>
      </c>
      <c r="J21" s="26">
        <v>83</v>
      </c>
      <c r="K21" s="52">
        <v>13</v>
      </c>
      <c r="L21" s="26">
        <v>79</v>
      </c>
      <c r="M21" s="52">
        <v>15</v>
      </c>
      <c r="N21" s="26">
        <v>76</v>
      </c>
      <c r="O21" s="52">
        <v>20</v>
      </c>
      <c r="P21" s="26">
        <v>68</v>
      </c>
      <c r="Q21" s="52">
        <v>21</v>
      </c>
    </row>
    <row r="22" spans="1:17" ht="19.5" thickBot="1" x14ac:dyDescent="0.2">
      <c r="A22" s="124"/>
      <c r="B22" s="107"/>
      <c r="C22" s="119"/>
      <c r="D22" s="102"/>
      <c r="E22" s="103"/>
      <c r="F22" s="102"/>
      <c r="G22" s="103"/>
      <c r="H22" s="17"/>
      <c r="I22" s="83">
        <v>0.25974025974025972</v>
      </c>
      <c r="J22" s="47">
        <f>J21/H21</f>
        <v>1.0779220779220779</v>
      </c>
      <c r="K22" s="83">
        <v>0.15662650602409639</v>
      </c>
      <c r="L22" s="47">
        <f>L21/J21</f>
        <v>0.95180722891566261</v>
      </c>
      <c r="M22" s="83">
        <v>0.189873417721519</v>
      </c>
      <c r="N22" s="47">
        <f>N21/L21</f>
        <v>0.96202531645569622</v>
      </c>
      <c r="O22" s="83">
        <v>0.26315789473684209</v>
      </c>
      <c r="P22" s="47">
        <f>P21/N21</f>
        <v>0.89473684210526316</v>
      </c>
      <c r="Q22" s="83">
        <f>Q21/P21</f>
        <v>0.30882352941176472</v>
      </c>
    </row>
    <row r="23" spans="1:17" ht="18.75" customHeight="1" x14ac:dyDescent="0.15">
      <c r="A23" s="129" t="s">
        <v>78</v>
      </c>
      <c r="B23" s="108" t="s">
        <v>79</v>
      </c>
      <c r="C23" s="118" t="s">
        <v>21</v>
      </c>
      <c r="D23" s="26">
        <v>305</v>
      </c>
      <c r="E23" s="52">
        <v>155</v>
      </c>
      <c r="F23" s="23"/>
      <c r="G23" s="7"/>
      <c r="H23" s="26">
        <v>347</v>
      </c>
      <c r="I23" s="52">
        <v>119</v>
      </c>
      <c r="J23" s="26">
        <v>271</v>
      </c>
      <c r="K23" s="52">
        <v>87</v>
      </c>
      <c r="L23" s="26">
        <v>241</v>
      </c>
      <c r="M23" s="52">
        <v>64</v>
      </c>
      <c r="N23" s="26">
        <v>241</v>
      </c>
      <c r="O23" s="52">
        <v>94</v>
      </c>
      <c r="P23" s="26">
        <v>284</v>
      </c>
      <c r="Q23" s="52">
        <v>125</v>
      </c>
    </row>
    <row r="24" spans="1:17" ht="19.5" thickBot="1" x14ac:dyDescent="0.2">
      <c r="A24" s="124"/>
      <c r="B24" s="107"/>
      <c r="C24" s="119"/>
      <c r="D24" s="17"/>
      <c r="E24" s="83">
        <v>0.50819672131147542</v>
      </c>
      <c r="F24" s="102"/>
      <c r="G24" s="103"/>
      <c r="H24" s="47" t="e">
        <f>H23/F23</f>
        <v>#DIV/0!</v>
      </c>
      <c r="I24" s="83">
        <v>0.34293948126801155</v>
      </c>
      <c r="J24" s="47">
        <f>J23/H23</f>
        <v>0.78097982708933722</v>
      </c>
      <c r="K24" s="83">
        <v>0.3210332103321033</v>
      </c>
      <c r="L24" s="47">
        <f>L23/J23</f>
        <v>0.88929889298892983</v>
      </c>
      <c r="M24" s="83">
        <v>0.26556016597510373</v>
      </c>
      <c r="N24" s="47">
        <f>N23/L23</f>
        <v>1</v>
      </c>
      <c r="O24" s="83">
        <f>O23/N23</f>
        <v>0.39004149377593361</v>
      </c>
      <c r="P24" s="47">
        <f>P23/N23</f>
        <v>1.1784232365145229</v>
      </c>
      <c r="Q24" s="53">
        <f>Q23/P23</f>
        <v>0.44014084507042256</v>
      </c>
    </row>
    <row r="25" spans="1:17" ht="22.5" x14ac:dyDescent="0.15">
      <c r="A25" s="129" t="s">
        <v>80</v>
      </c>
      <c r="B25" s="106" t="s">
        <v>81</v>
      </c>
      <c r="C25" s="118" t="s">
        <v>38</v>
      </c>
      <c r="D25" s="26">
        <v>129</v>
      </c>
      <c r="E25" s="52">
        <v>0</v>
      </c>
      <c r="F25" s="26">
        <v>148</v>
      </c>
      <c r="G25" s="52">
        <v>0</v>
      </c>
      <c r="H25" s="26">
        <v>162</v>
      </c>
      <c r="I25" s="52">
        <v>0</v>
      </c>
      <c r="J25" s="26">
        <v>175</v>
      </c>
      <c r="K25" s="52">
        <v>0</v>
      </c>
      <c r="L25" s="26">
        <v>169</v>
      </c>
      <c r="M25" s="52">
        <v>1</v>
      </c>
      <c r="N25" s="26">
        <v>157</v>
      </c>
      <c r="O25" s="52">
        <v>1</v>
      </c>
      <c r="P25" s="26">
        <v>115</v>
      </c>
      <c r="Q25" s="52">
        <v>1</v>
      </c>
    </row>
    <row r="26" spans="1:17" ht="19.5" thickBot="1" x14ac:dyDescent="0.2">
      <c r="A26" s="124"/>
      <c r="B26" s="107"/>
      <c r="C26" s="119"/>
      <c r="D26" s="19"/>
      <c r="E26" s="53">
        <f>E25/D25</f>
        <v>0</v>
      </c>
      <c r="F26" s="47">
        <f>F25/D25</f>
        <v>1.1472868217054264</v>
      </c>
      <c r="G26" s="53">
        <f>G25/F25</f>
        <v>0</v>
      </c>
      <c r="H26" s="47">
        <f>H25/F25</f>
        <v>1.0945945945945945</v>
      </c>
      <c r="I26" s="53">
        <f>I25/H25</f>
        <v>0</v>
      </c>
      <c r="J26" s="47">
        <f>J25/H25</f>
        <v>1.0802469135802468</v>
      </c>
      <c r="K26" s="53">
        <f>K25/J25</f>
        <v>0</v>
      </c>
      <c r="L26" s="47">
        <f>L25/J25</f>
        <v>0.96571428571428575</v>
      </c>
      <c r="M26" s="53">
        <f>M25/L25</f>
        <v>5.9171597633136093E-3</v>
      </c>
      <c r="N26" s="47">
        <f>N25/L25</f>
        <v>0.92899408284023666</v>
      </c>
      <c r="O26" s="53">
        <f>O25/N25</f>
        <v>6.369426751592357E-3</v>
      </c>
      <c r="P26" s="47">
        <f>P25/N25</f>
        <v>0.73248407643312097</v>
      </c>
      <c r="Q26" s="53">
        <f>Q25/P25</f>
        <v>8.6956521739130436E-3</v>
      </c>
    </row>
    <row r="27" spans="1:17" ht="22.5" x14ac:dyDescent="0.15">
      <c r="A27" s="120" t="s">
        <v>188</v>
      </c>
      <c r="B27" s="106" t="s">
        <v>83</v>
      </c>
      <c r="C27" s="118" t="s">
        <v>38</v>
      </c>
      <c r="D27" s="23"/>
      <c r="E27" s="7"/>
      <c r="F27" s="23"/>
      <c r="G27" s="7"/>
      <c r="H27" s="23"/>
      <c r="I27" s="7"/>
      <c r="J27" s="26">
        <v>39</v>
      </c>
      <c r="K27" s="52">
        <v>0</v>
      </c>
      <c r="L27" s="26">
        <v>60</v>
      </c>
      <c r="M27" s="52">
        <v>0</v>
      </c>
      <c r="N27" s="26">
        <v>80</v>
      </c>
      <c r="O27" s="52">
        <v>0</v>
      </c>
      <c r="P27" s="26">
        <v>67</v>
      </c>
      <c r="Q27" s="52">
        <v>0</v>
      </c>
    </row>
    <row r="28" spans="1:17" ht="19.5" thickBot="1" x14ac:dyDescent="0.2">
      <c r="A28" s="123"/>
      <c r="B28" s="107"/>
      <c r="C28" s="119"/>
      <c r="D28" s="102"/>
      <c r="E28" s="103"/>
      <c r="F28" s="102"/>
      <c r="G28" s="103"/>
      <c r="H28" s="102"/>
      <c r="I28" s="103"/>
      <c r="J28" s="17"/>
      <c r="K28" s="83">
        <v>0</v>
      </c>
      <c r="L28" s="47">
        <f>L27/J27</f>
        <v>1.5384615384615385</v>
      </c>
      <c r="M28" s="83">
        <v>0</v>
      </c>
      <c r="N28" s="47">
        <f>N27/L27</f>
        <v>1.3333333333333333</v>
      </c>
      <c r="O28" s="83">
        <v>0</v>
      </c>
      <c r="P28" s="47">
        <f>P27/N27</f>
        <v>0.83750000000000002</v>
      </c>
      <c r="Q28" s="83">
        <f>Q27/P27</f>
        <v>0</v>
      </c>
    </row>
    <row r="29" spans="1:17" ht="19.5" customHeight="1" x14ac:dyDescent="0.15">
      <c r="A29" s="123"/>
      <c r="B29" s="106" t="s">
        <v>82</v>
      </c>
      <c r="C29" s="118" t="s">
        <v>21</v>
      </c>
      <c r="D29" s="23"/>
      <c r="E29" s="7"/>
      <c r="F29" s="26">
        <v>89</v>
      </c>
      <c r="G29" s="52">
        <v>1</v>
      </c>
      <c r="H29" s="26">
        <v>103</v>
      </c>
      <c r="I29" s="52">
        <v>1</v>
      </c>
      <c r="J29" s="26">
        <v>89</v>
      </c>
      <c r="K29" s="52">
        <v>0</v>
      </c>
      <c r="L29" s="26">
        <v>86</v>
      </c>
      <c r="M29" s="52">
        <v>0</v>
      </c>
      <c r="N29" s="26">
        <v>87</v>
      </c>
      <c r="O29" s="52">
        <v>0</v>
      </c>
      <c r="P29" s="26">
        <v>71</v>
      </c>
      <c r="Q29" s="52">
        <v>4</v>
      </c>
    </row>
    <row r="30" spans="1:17" ht="19.5" thickBot="1" x14ac:dyDescent="0.2">
      <c r="A30" s="124"/>
      <c r="B30" s="107"/>
      <c r="C30" s="119"/>
      <c r="D30" s="102"/>
      <c r="E30" s="103"/>
      <c r="F30" s="17"/>
      <c r="G30" s="83">
        <v>1.1235955056179775E-2</v>
      </c>
      <c r="H30" s="47">
        <f>H29/F29</f>
        <v>1.1573033707865168</v>
      </c>
      <c r="I30" s="83">
        <v>9.7087378640776691E-3</v>
      </c>
      <c r="J30" s="47">
        <f>J29/H29</f>
        <v>0.86407766990291257</v>
      </c>
      <c r="K30" s="83">
        <v>0</v>
      </c>
      <c r="L30" s="47">
        <f>L29/J29</f>
        <v>0.9662921348314607</v>
      </c>
      <c r="M30" s="83">
        <v>0</v>
      </c>
      <c r="N30" s="47">
        <f>N29/L29</f>
        <v>1.0116279069767442</v>
      </c>
      <c r="O30" s="83">
        <v>0</v>
      </c>
      <c r="P30" s="47">
        <f>P29/N29</f>
        <v>0.81609195402298851</v>
      </c>
      <c r="Q30" s="83">
        <f>Q29/P29</f>
        <v>5.6338028169014086E-2</v>
      </c>
    </row>
    <row r="31" spans="1:17" ht="22.5" x14ac:dyDescent="0.15">
      <c r="A31" s="120" t="s">
        <v>215</v>
      </c>
      <c r="B31" s="106" t="s">
        <v>83</v>
      </c>
      <c r="C31" s="118" t="s">
        <v>38</v>
      </c>
      <c r="D31" s="23"/>
      <c r="E31" s="7"/>
      <c r="F31" s="23"/>
      <c r="G31" s="7"/>
      <c r="H31" s="23"/>
      <c r="I31" s="7"/>
      <c r="J31" s="23"/>
      <c r="K31" s="7"/>
      <c r="L31" s="26">
        <v>12</v>
      </c>
      <c r="M31" s="52">
        <v>0</v>
      </c>
      <c r="N31" s="26">
        <v>36</v>
      </c>
      <c r="O31" s="52">
        <v>0</v>
      </c>
      <c r="P31" s="26">
        <v>4</v>
      </c>
      <c r="Q31" s="52">
        <v>0</v>
      </c>
    </row>
    <row r="32" spans="1:17" ht="19.5" thickBot="1" x14ac:dyDescent="0.2">
      <c r="A32" s="123"/>
      <c r="B32" s="107"/>
      <c r="C32" s="119"/>
      <c r="D32" s="102"/>
      <c r="E32" s="103"/>
      <c r="F32" s="102"/>
      <c r="G32" s="103"/>
      <c r="H32" s="102"/>
      <c r="I32" s="103"/>
      <c r="J32" s="18"/>
      <c r="K32" s="58"/>
      <c r="L32" s="19"/>
      <c r="M32" s="83">
        <v>0</v>
      </c>
      <c r="N32" s="47">
        <f>N31/L31</f>
        <v>3</v>
      </c>
      <c r="O32" s="83">
        <v>0</v>
      </c>
      <c r="P32" s="47">
        <f>P31/N31</f>
        <v>0.1111111111111111</v>
      </c>
      <c r="Q32" s="83">
        <f>Q31/P31</f>
        <v>0</v>
      </c>
    </row>
    <row r="33" spans="1:17" ht="19.5" customHeight="1" x14ac:dyDescent="0.15">
      <c r="A33" s="123"/>
      <c r="B33" s="106" t="s">
        <v>82</v>
      </c>
      <c r="C33" s="118" t="s">
        <v>21</v>
      </c>
      <c r="D33" s="23"/>
      <c r="E33" s="7"/>
      <c r="F33" s="23"/>
      <c r="G33" s="7"/>
      <c r="H33" s="23"/>
      <c r="I33" s="7"/>
      <c r="J33" s="23"/>
      <c r="K33" s="7"/>
      <c r="L33" s="26">
        <v>5</v>
      </c>
      <c r="M33" s="52">
        <v>0</v>
      </c>
      <c r="N33" s="26">
        <v>25</v>
      </c>
      <c r="O33" s="52">
        <v>0</v>
      </c>
      <c r="P33" s="26">
        <v>56</v>
      </c>
      <c r="Q33" s="52">
        <v>4</v>
      </c>
    </row>
    <row r="34" spans="1:17" ht="19.5" thickBot="1" x14ac:dyDescent="0.2">
      <c r="A34" s="124"/>
      <c r="B34" s="107"/>
      <c r="C34" s="119"/>
      <c r="D34" s="102"/>
      <c r="E34" s="103"/>
      <c r="F34" s="18"/>
      <c r="G34" s="58"/>
      <c r="H34" s="18"/>
      <c r="I34" s="58"/>
      <c r="J34" s="18"/>
      <c r="K34" s="58"/>
      <c r="L34" s="19"/>
      <c r="M34" s="83">
        <v>0</v>
      </c>
      <c r="N34" s="47">
        <f>N33/L33</f>
        <v>5</v>
      </c>
      <c r="O34" s="83">
        <v>0</v>
      </c>
      <c r="P34" s="47">
        <f>P33/N33</f>
        <v>2.2400000000000002</v>
      </c>
      <c r="Q34" s="83">
        <f>Q33/P33</f>
        <v>7.1428571428571425E-2</v>
      </c>
    </row>
    <row r="35" spans="1:17" ht="22.5" x14ac:dyDescent="0.15">
      <c r="A35" s="129" t="s">
        <v>86</v>
      </c>
      <c r="B35" s="106" t="s">
        <v>87</v>
      </c>
      <c r="C35" s="118" t="s">
        <v>14</v>
      </c>
      <c r="D35" s="23"/>
      <c r="E35" s="7"/>
      <c r="F35" s="23"/>
      <c r="G35" s="7"/>
      <c r="H35" s="23"/>
      <c r="I35" s="7"/>
      <c r="J35" s="26">
        <v>47</v>
      </c>
      <c r="K35" s="52">
        <v>0</v>
      </c>
      <c r="L35" s="26">
        <v>96</v>
      </c>
      <c r="M35" s="52">
        <v>0</v>
      </c>
      <c r="N35" s="26">
        <v>134</v>
      </c>
      <c r="O35" s="52">
        <v>1</v>
      </c>
      <c r="P35" s="26">
        <v>128</v>
      </c>
      <c r="Q35" s="52">
        <v>1</v>
      </c>
    </row>
    <row r="36" spans="1:17" ht="19.5" thickBot="1" x14ac:dyDescent="0.2">
      <c r="A36" s="123"/>
      <c r="B36" s="107"/>
      <c r="C36" s="119"/>
      <c r="D36" s="102"/>
      <c r="E36" s="103"/>
      <c r="F36" s="102"/>
      <c r="G36" s="103"/>
      <c r="H36" s="102"/>
      <c r="I36" s="103"/>
      <c r="J36" s="19"/>
      <c r="K36" s="83">
        <v>0</v>
      </c>
      <c r="L36" s="47">
        <f>L35/J35</f>
        <v>2.0425531914893615</v>
      </c>
      <c r="M36" s="83">
        <v>0</v>
      </c>
      <c r="N36" s="47">
        <f>N35/L35</f>
        <v>1.3958333333333333</v>
      </c>
      <c r="O36" s="83">
        <v>7.462686567164179E-3</v>
      </c>
      <c r="P36" s="47">
        <f>P35/N35</f>
        <v>0.95522388059701491</v>
      </c>
      <c r="Q36" s="83">
        <f>Q35/P35</f>
        <v>7.8125E-3</v>
      </c>
    </row>
    <row r="37" spans="1:17" ht="22.5" x14ac:dyDescent="0.15">
      <c r="A37" s="123"/>
      <c r="B37" s="106" t="s">
        <v>88</v>
      </c>
      <c r="C37" s="118" t="s">
        <v>38</v>
      </c>
      <c r="D37" s="26">
        <v>143</v>
      </c>
      <c r="E37" s="52">
        <v>2</v>
      </c>
      <c r="F37" s="26">
        <v>162</v>
      </c>
      <c r="G37" s="52">
        <v>1</v>
      </c>
      <c r="H37" s="26">
        <v>186</v>
      </c>
      <c r="I37" s="52">
        <v>1</v>
      </c>
      <c r="J37" s="26">
        <v>127</v>
      </c>
      <c r="K37" s="52">
        <v>1</v>
      </c>
      <c r="L37" s="26">
        <v>55</v>
      </c>
      <c r="M37" s="52">
        <v>0</v>
      </c>
      <c r="N37" s="35"/>
      <c r="O37" s="54"/>
      <c r="P37" s="26">
        <v>54</v>
      </c>
      <c r="Q37" s="52">
        <v>1</v>
      </c>
    </row>
    <row r="38" spans="1:17" ht="19.5" customHeight="1" thickBot="1" x14ac:dyDescent="0.2">
      <c r="A38" s="124"/>
      <c r="B38" s="107"/>
      <c r="C38" s="119"/>
      <c r="D38" s="17"/>
      <c r="E38" s="83">
        <v>1.3986013986013986E-2</v>
      </c>
      <c r="F38" s="47">
        <f>F37/D37</f>
        <v>1.1328671328671329</v>
      </c>
      <c r="G38" s="83">
        <v>6.1728395061728392E-3</v>
      </c>
      <c r="H38" s="47">
        <f>H37/F37</f>
        <v>1.1481481481481481</v>
      </c>
      <c r="I38" s="83">
        <v>5.3763440860215058E-3</v>
      </c>
      <c r="J38" s="47">
        <f>J37/H37</f>
        <v>0.68279569892473113</v>
      </c>
      <c r="K38" s="83">
        <v>7.874015748031496E-3</v>
      </c>
      <c r="L38" s="47">
        <f>L37/J37</f>
        <v>0.43307086614173229</v>
      </c>
      <c r="M38" s="83">
        <v>0</v>
      </c>
      <c r="N38" s="84"/>
      <c r="O38" s="58">
        <v>7.462686567164179E-3</v>
      </c>
      <c r="P38" s="47">
        <f>P37/L37</f>
        <v>0.98181818181818181</v>
      </c>
      <c r="Q38" s="83">
        <f>Q37/P37</f>
        <v>1.8518518518518517E-2</v>
      </c>
    </row>
    <row r="40" spans="1:17" ht="19.5" customHeight="1" x14ac:dyDescent="0.15"/>
  </sheetData>
  <mergeCells count="68">
    <mergeCell ref="P2:Q2"/>
    <mergeCell ref="A31:A34"/>
    <mergeCell ref="B31:B32"/>
    <mergeCell ref="C31:C32"/>
    <mergeCell ref="D32:E32"/>
    <mergeCell ref="F32:G32"/>
    <mergeCell ref="H32:I32"/>
    <mergeCell ref="B33:B34"/>
    <mergeCell ref="C33:C34"/>
    <mergeCell ref="D34:E34"/>
    <mergeCell ref="B25:B26"/>
    <mergeCell ref="C25:C26"/>
    <mergeCell ref="B29:B30"/>
    <mergeCell ref="C29:C30"/>
    <mergeCell ref="H28:I28"/>
    <mergeCell ref="D18:E18"/>
    <mergeCell ref="F18:G18"/>
    <mergeCell ref="B13:B14"/>
    <mergeCell ref="C13:C14"/>
    <mergeCell ref="B15:B16"/>
    <mergeCell ref="C15:C16"/>
    <mergeCell ref="J2:K2"/>
    <mergeCell ref="L2:M2"/>
    <mergeCell ref="N2:O2"/>
    <mergeCell ref="A13:A16"/>
    <mergeCell ref="A17:A22"/>
    <mergeCell ref="D22:E22"/>
    <mergeCell ref="F22:G22"/>
    <mergeCell ref="D20:E20"/>
    <mergeCell ref="F20:G20"/>
    <mergeCell ref="B11:B12"/>
    <mergeCell ref="C11:C12"/>
    <mergeCell ref="D2:E2"/>
    <mergeCell ref="F2:G2"/>
    <mergeCell ref="H2:I2"/>
    <mergeCell ref="B17:B18"/>
    <mergeCell ref="C17:C18"/>
    <mergeCell ref="A25:A26"/>
    <mergeCell ref="A27:A30"/>
    <mergeCell ref="A5:A8"/>
    <mergeCell ref="B5:B6"/>
    <mergeCell ref="C5:C6"/>
    <mergeCell ref="B7:B8"/>
    <mergeCell ref="C7:C8"/>
    <mergeCell ref="A9:A12"/>
    <mergeCell ref="B9:B10"/>
    <mergeCell ref="C9:C10"/>
    <mergeCell ref="B19:B20"/>
    <mergeCell ref="C19:C20"/>
    <mergeCell ref="B21:B22"/>
    <mergeCell ref="C21:C22"/>
    <mergeCell ref="A23:A24"/>
    <mergeCell ref="B23:B24"/>
    <mergeCell ref="A35:A38"/>
    <mergeCell ref="B35:B36"/>
    <mergeCell ref="C35:C36"/>
    <mergeCell ref="D36:E36"/>
    <mergeCell ref="F36:G36"/>
    <mergeCell ref="H36:I36"/>
    <mergeCell ref="B37:B38"/>
    <mergeCell ref="C37:C38"/>
    <mergeCell ref="C23:C24"/>
    <mergeCell ref="F24:G24"/>
    <mergeCell ref="D30:E30"/>
    <mergeCell ref="B27:B28"/>
    <mergeCell ref="C27:C28"/>
    <mergeCell ref="D28:E28"/>
    <mergeCell ref="F28:G28"/>
  </mergeCells>
  <phoneticPr fontId="2"/>
  <conditionalFormatting sqref="L38 J38 H38 F38 L36 N36 P36 P34 N34 N32 P32 P30 N30 L30 J30 H30 L28 N28 P28 P26 N26 L26 J26 H26 F26 H24 J24 L24 N24 P24 P22 N22 L22 J22 J20 L20 N20 P20 P18 N18 L18 J18 F16 H16 J16 L16 P16 P14 N16 N14 L14 J14 H14 F14 H12 J12 L12 N12 P12 P10 N10 L10 J10 H10 H8 J8 L8 N8 P8 P6 N6 L6 J6 H6 F12 F10 F8 F6">
    <cfRule type="cellIs" dxfId="33" priority="3" operator="lessThan">
      <formula>1</formula>
    </cfRule>
    <cfRule type="cellIs" dxfId="32" priority="4" operator="greaterThanOrEqual">
      <formula>1</formula>
    </cfRule>
  </conditionalFormatting>
  <conditionalFormatting sqref="N38 P38">
    <cfRule type="cellIs" dxfId="31" priority="1" operator="lessThan">
      <formula>1</formula>
    </cfRule>
    <cfRule type="cellIs" dxfId="30" priority="2" operator="greaterThanOrEqual">
      <formula>1</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996F-31C7-4E52-8ECB-83E06E878136}">
  <dimension ref="A2:Q84"/>
  <sheetViews>
    <sheetView showGridLines="0" zoomScale="80" zoomScaleNormal="80" workbookViewId="0">
      <selection activeCell="T8" sqref="T8"/>
    </sheetView>
  </sheetViews>
  <sheetFormatPr defaultRowHeight="18.75" x14ac:dyDescent="0.15"/>
  <cols>
    <col min="1" max="1" width="22.125" style="1" bestFit="1" customWidth="1"/>
    <col min="2" max="2" width="24.5" style="2" bestFit="1" customWidth="1"/>
    <col min="3" max="3" width="8.625" style="2" customWidth="1"/>
    <col min="4" max="4" width="6.875" style="1" bestFit="1" customWidth="1"/>
    <col min="5" max="5" width="7.625" style="1" bestFit="1" customWidth="1"/>
    <col min="6" max="6" width="9.75" style="1" bestFit="1" customWidth="1"/>
    <col min="7" max="7" width="7.625" style="1" bestFit="1" customWidth="1"/>
    <col min="8" max="8" width="9.75" style="1" bestFit="1" customWidth="1"/>
    <col min="9" max="9" width="7.625" style="1" bestFit="1" customWidth="1"/>
    <col min="10" max="10" width="9.75" style="1" bestFit="1" customWidth="1"/>
    <col min="11" max="11" width="7.625" style="1" bestFit="1" customWidth="1"/>
    <col min="12" max="12" width="9.75" style="1" bestFit="1" customWidth="1"/>
    <col min="13" max="13" width="7.625" style="1" bestFit="1" customWidth="1"/>
    <col min="14" max="14" width="9.75" style="1" bestFit="1" customWidth="1"/>
    <col min="15" max="15" width="7.625" style="1" bestFit="1" customWidth="1"/>
    <col min="16" max="16" width="9.75" style="1" bestFit="1" customWidth="1"/>
    <col min="17" max="17" width="7.62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22.5" x14ac:dyDescent="0.15">
      <c r="A6" s="139" t="s">
        <v>0</v>
      </c>
      <c r="B6" s="141" t="s">
        <v>109</v>
      </c>
      <c r="C6" s="142" t="s">
        <v>38</v>
      </c>
      <c r="D6" s="25">
        <v>306</v>
      </c>
      <c r="E6" s="50">
        <v>52</v>
      </c>
      <c r="F6" s="25">
        <v>322</v>
      </c>
      <c r="G6" s="50">
        <v>40</v>
      </c>
      <c r="H6" s="25">
        <v>330</v>
      </c>
      <c r="I6" s="50">
        <v>37</v>
      </c>
      <c r="J6" s="25">
        <v>325</v>
      </c>
      <c r="K6" s="50">
        <v>19</v>
      </c>
      <c r="L6" s="25">
        <v>346</v>
      </c>
      <c r="M6" s="50">
        <v>17</v>
      </c>
      <c r="N6" s="25">
        <v>345</v>
      </c>
      <c r="O6" s="50">
        <v>29</v>
      </c>
      <c r="P6" s="30">
        <v>309</v>
      </c>
      <c r="Q6" s="60">
        <v>37</v>
      </c>
    </row>
    <row r="7" spans="1:17" ht="19.5" thickBot="1" x14ac:dyDescent="0.2">
      <c r="A7" s="131"/>
      <c r="B7" s="112"/>
      <c r="C7" s="143"/>
      <c r="D7" s="24"/>
      <c r="E7" s="51">
        <f>E6/D6</f>
        <v>0.16993464052287582</v>
      </c>
      <c r="F7" s="16">
        <f>F6/D6</f>
        <v>1.0522875816993464</v>
      </c>
      <c r="G7" s="57">
        <f>G6/F6</f>
        <v>0.12422360248447205</v>
      </c>
      <c r="H7" s="16">
        <f>H6/F6</f>
        <v>1.0248447204968945</v>
      </c>
      <c r="I7" s="57">
        <f>I6/H6</f>
        <v>0.11212121212121212</v>
      </c>
      <c r="J7" s="16">
        <f>J6/H6</f>
        <v>0.98484848484848486</v>
      </c>
      <c r="K7" s="57">
        <f>K6/J6</f>
        <v>5.8461538461538461E-2</v>
      </c>
      <c r="L7" s="16">
        <f>L6/J6</f>
        <v>1.0646153846153845</v>
      </c>
      <c r="M7" s="57">
        <f>M6/L6</f>
        <v>4.9132947976878616E-2</v>
      </c>
      <c r="N7" s="16">
        <f>N6/L6</f>
        <v>0.99710982658959535</v>
      </c>
      <c r="O7" s="57">
        <f>O6/N6</f>
        <v>8.4057971014492749E-2</v>
      </c>
      <c r="P7" s="16">
        <f>P6/N6</f>
        <v>0.89565217391304353</v>
      </c>
      <c r="Q7" s="57">
        <f>Q6/P6</f>
        <v>0.11974110032362459</v>
      </c>
    </row>
    <row r="8" spans="1:17" ht="22.5" x14ac:dyDescent="0.15">
      <c r="A8" s="139" t="s">
        <v>1</v>
      </c>
      <c r="B8" s="141" t="s">
        <v>109</v>
      </c>
      <c r="C8" s="142" t="s">
        <v>38</v>
      </c>
      <c r="D8" s="25">
        <v>220</v>
      </c>
      <c r="E8" s="50">
        <v>18</v>
      </c>
      <c r="F8" s="25">
        <v>230</v>
      </c>
      <c r="G8" s="50">
        <v>14</v>
      </c>
      <c r="H8" s="25">
        <v>270</v>
      </c>
      <c r="I8" s="50">
        <v>13</v>
      </c>
      <c r="J8" s="25">
        <v>291</v>
      </c>
      <c r="K8" s="50">
        <v>10</v>
      </c>
      <c r="L8" s="25">
        <v>302</v>
      </c>
      <c r="M8" s="50">
        <v>8</v>
      </c>
      <c r="N8" s="25">
        <v>296</v>
      </c>
      <c r="O8" s="50">
        <v>10</v>
      </c>
      <c r="P8" s="31">
        <v>286</v>
      </c>
      <c r="Q8" s="61">
        <v>12</v>
      </c>
    </row>
    <row r="9" spans="1:17" ht="19.5" thickBot="1" x14ac:dyDescent="0.2">
      <c r="A9" s="131"/>
      <c r="B9" s="112"/>
      <c r="C9" s="143"/>
      <c r="D9" s="24"/>
      <c r="E9" s="51">
        <f>E8/D8</f>
        <v>8.1818181818181818E-2</v>
      </c>
      <c r="F9" s="16">
        <f>F8/D8</f>
        <v>1.0454545454545454</v>
      </c>
      <c r="G9" s="57">
        <f>G8/F8</f>
        <v>6.0869565217391307E-2</v>
      </c>
      <c r="H9" s="16">
        <f>H8/F8</f>
        <v>1.173913043478261</v>
      </c>
      <c r="I9" s="57">
        <f>I8/H8</f>
        <v>4.8148148148148148E-2</v>
      </c>
      <c r="J9" s="16">
        <f>J8/H8</f>
        <v>1.0777777777777777</v>
      </c>
      <c r="K9" s="57">
        <f>K8/J8</f>
        <v>3.4364261168384883E-2</v>
      </c>
      <c r="L9" s="16">
        <f>L8/J8</f>
        <v>1.0378006872852235</v>
      </c>
      <c r="M9" s="57">
        <f>M8/L8</f>
        <v>2.6490066225165563E-2</v>
      </c>
      <c r="N9" s="16">
        <f>N8/L8</f>
        <v>0.98013245033112584</v>
      </c>
      <c r="O9" s="57">
        <f>O8/N8</f>
        <v>3.3783783783783786E-2</v>
      </c>
      <c r="P9" s="16">
        <f>P8/N8</f>
        <v>0.96621621621621623</v>
      </c>
      <c r="Q9" s="57">
        <f>Q8/P8</f>
        <v>4.195804195804196E-2</v>
      </c>
    </row>
    <row r="10" spans="1:17" ht="18.75" customHeight="1" x14ac:dyDescent="0.15">
      <c r="A10" s="104" t="s">
        <v>76</v>
      </c>
      <c r="B10" s="108" t="s">
        <v>191</v>
      </c>
      <c r="C10" s="118" t="s">
        <v>14</v>
      </c>
      <c r="D10" s="26">
        <v>376</v>
      </c>
      <c r="E10" s="52">
        <v>140</v>
      </c>
      <c r="F10" s="26">
        <v>464</v>
      </c>
      <c r="G10" s="52">
        <v>104</v>
      </c>
      <c r="H10" s="26">
        <v>456</v>
      </c>
      <c r="I10" s="52">
        <v>82</v>
      </c>
      <c r="J10" s="26">
        <v>477</v>
      </c>
      <c r="K10" s="52">
        <v>65</v>
      </c>
      <c r="L10" s="26">
        <v>680</v>
      </c>
      <c r="M10" s="52">
        <v>67</v>
      </c>
      <c r="N10" s="26">
        <v>597</v>
      </c>
      <c r="O10" s="52">
        <v>70</v>
      </c>
      <c r="P10" s="28">
        <v>516</v>
      </c>
      <c r="Q10" s="62">
        <v>69</v>
      </c>
    </row>
    <row r="11" spans="1:17" ht="19.5" thickBot="1" x14ac:dyDescent="0.2">
      <c r="A11" s="117"/>
      <c r="B11" s="107"/>
      <c r="C11" s="119"/>
      <c r="D11" s="19"/>
      <c r="E11" s="53">
        <f>E10/D10</f>
        <v>0.37234042553191488</v>
      </c>
      <c r="F11" s="47">
        <f>F10/D10</f>
        <v>1.2340425531914894</v>
      </c>
      <c r="G11" s="53">
        <f>G10/F10</f>
        <v>0.22413793103448276</v>
      </c>
      <c r="H11" s="47">
        <f>H10/F10</f>
        <v>0.98275862068965514</v>
      </c>
      <c r="I11" s="53">
        <f>I10/H10</f>
        <v>0.17982456140350878</v>
      </c>
      <c r="J11" s="47">
        <f>J10/H10</f>
        <v>1.0460526315789473</v>
      </c>
      <c r="K11" s="53">
        <f>K10/J10</f>
        <v>0.13626834381551362</v>
      </c>
      <c r="L11" s="47">
        <f>L10/J10</f>
        <v>1.4255765199161425</v>
      </c>
      <c r="M11" s="53">
        <f>M10/L10</f>
        <v>9.8529411764705879E-2</v>
      </c>
      <c r="N11" s="47">
        <f>N10/L10</f>
        <v>0.87794117647058822</v>
      </c>
      <c r="O11" s="53">
        <f>O10/N10</f>
        <v>0.11725293132328309</v>
      </c>
      <c r="P11" s="47">
        <f>P10/N10</f>
        <v>0.86432160804020097</v>
      </c>
      <c r="Q11" s="63">
        <f>Q10/P10</f>
        <v>0.13372093023255813</v>
      </c>
    </row>
    <row r="12" spans="1:17" ht="18.75" customHeight="1" x14ac:dyDescent="0.15">
      <c r="A12" s="117"/>
      <c r="B12" s="108" t="s">
        <v>19</v>
      </c>
      <c r="C12" s="118" t="s">
        <v>21</v>
      </c>
      <c r="D12" s="26">
        <v>259</v>
      </c>
      <c r="E12" s="52">
        <v>141</v>
      </c>
      <c r="F12" s="26">
        <v>219</v>
      </c>
      <c r="G12" s="52">
        <v>106</v>
      </c>
      <c r="H12" s="26">
        <v>170</v>
      </c>
      <c r="I12" s="52">
        <v>55</v>
      </c>
      <c r="J12" s="26">
        <v>164</v>
      </c>
      <c r="K12" s="52">
        <v>44</v>
      </c>
      <c r="L12" s="26">
        <v>169</v>
      </c>
      <c r="M12" s="52">
        <v>39</v>
      </c>
      <c r="N12" s="26">
        <v>198</v>
      </c>
      <c r="O12" s="52">
        <v>40</v>
      </c>
      <c r="P12" s="28">
        <v>218</v>
      </c>
      <c r="Q12" s="62">
        <v>77</v>
      </c>
    </row>
    <row r="13" spans="1:17" ht="19.5" thickBot="1" x14ac:dyDescent="0.2">
      <c r="A13" s="105"/>
      <c r="B13" s="107"/>
      <c r="C13" s="119"/>
      <c r="D13" s="19"/>
      <c r="E13" s="53">
        <f>E12/D12</f>
        <v>0.54440154440154442</v>
      </c>
      <c r="F13" s="47">
        <f>F12/D12</f>
        <v>0.84555984555984554</v>
      </c>
      <c r="G13" s="53">
        <f>G12/F12</f>
        <v>0.48401826484018262</v>
      </c>
      <c r="H13" s="47">
        <f>H12/F12</f>
        <v>0.77625570776255703</v>
      </c>
      <c r="I13" s="53">
        <f>I12/H12</f>
        <v>0.3235294117647059</v>
      </c>
      <c r="J13" s="47">
        <f>J12/H12</f>
        <v>0.96470588235294119</v>
      </c>
      <c r="K13" s="53">
        <f>K12/J12</f>
        <v>0.26829268292682928</v>
      </c>
      <c r="L13" s="47">
        <f>L12/J12</f>
        <v>1.0304878048780488</v>
      </c>
      <c r="M13" s="53">
        <f>M12/L12</f>
        <v>0.23076923076923078</v>
      </c>
      <c r="N13" s="47">
        <f>N12/L12</f>
        <v>1.1715976331360947</v>
      </c>
      <c r="O13" s="53">
        <f>O12/N12</f>
        <v>0.20202020202020202</v>
      </c>
      <c r="P13" s="47">
        <f>P12/N12</f>
        <v>1.101010101010101</v>
      </c>
      <c r="Q13" s="63">
        <f>Q12/P12</f>
        <v>0.35321100917431192</v>
      </c>
    </row>
    <row r="14" spans="1:17" ht="18.75" customHeight="1" x14ac:dyDescent="0.15">
      <c r="A14" s="129" t="s">
        <v>77</v>
      </c>
      <c r="B14" s="108" t="s">
        <v>193</v>
      </c>
      <c r="C14" s="118" t="s">
        <v>38</v>
      </c>
      <c r="D14" s="23"/>
      <c r="E14" s="7"/>
      <c r="F14" s="23"/>
      <c r="G14" s="7"/>
      <c r="H14" s="26">
        <v>103</v>
      </c>
      <c r="I14" s="52">
        <v>17</v>
      </c>
      <c r="J14" s="26">
        <v>101</v>
      </c>
      <c r="K14" s="52">
        <v>14</v>
      </c>
      <c r="L14" s="26">
        <v>107</v>
      </c>
      <c r="M14" s="52">
        <v>9</v>
      </c>
      <c r="N14" s="26">
        <v>100</v>
      </c>
      <c r="O14" s="52">
        <v>13</v>
      </c>
      <c r="P14" s="28">
        <v>103</v>
      </c>
      <c r="Q14" s="62">
        <v>14</v>
      </c>
    </row>
    <row r="15" spans="1:17" ht="19.5" thickBot="1" x14ac:dyDescent="0.2">
      <c r="A15" s="123"/>
      <c r="B15" s="107"/>
      <c r="C15" s="119"/>
      <c r="D15" s="102"/>
      <c r="E15" s="103"/>
      <c r="F15" s="102"/>
      <c r="G15" s="103"/>
      <c r="H15" s="19"/>
      <c r="I15" s="53">
        <f>I14/H14</f>
        <v>0.1650485436893204</v>
      </c>
      <c r="J15" s="47">
        <f>J14/H14</f>
        <v>0.98058252427184467</v>
      </c>
      <c r="K15" s="53">
        <f>K14/J14</f>
        <v>0.13861386138613863</v>
      </c>
      <c r="L15" s="47">
        <f>L14/J14</f>
        <v>1.0594059405940595</v>
      </c>
      <c r="M15" s="53">
        <f>M14/L14</f>
        <v>8.4112149532710276E-2</v>
      </c>
      <c r="N15" s="47">
        <f>N14/L14</f>
        <v>0.93457943925233644</v>
      </c>
      <c r="O15" s="53">
        <f>O14/N14</f>
        <v>0.13</v>
      </c>
      <c r="P15" s="47">
        <f>P14/N14</f>
        <v>1.03</v>
      </c>
      <c r="Q15" s="63">
        <f>Q14/P14</f>
        <v>0.13592233009708737</v>
      </c>
    </row>
    <row r="16" spans="1:17" ht="18.75" customHeight="1" x14ac:dyDescent="0.15">
      <c r="A16" s="123"/>
      <c r="B16" s="108" t="s">
        <v>192</v>
      </c>
      <c r="C16" s="118" t="s">
        <v>21</v>
      </c>
      <c r="D16" s="23"/>
      <c r="E16" s="7"/>
      <c r="F16" s="23"/>
      <c r="G16" s="7"/>
      <c r="H16" s="26">
        <v>356</v>
      </c>
      <c r="I16" s="52">
        <v>70</v>
      </c>
      <c r="J16" s="26">
        <v>336</v>
      </c>
      <c r="K16" s="52">
        <v>52</v>
      </c>
      <c r="L16" s="26">
        <v>309</v>
      </c>
      <c r="M16" s="52">
        <v>42</v>
      </c>
      <c r="N16" s="26">
        <v>297</v>
      </c>
      <c r="O16" s="52">
        <v>64</v>
      </c>
      <c r="P16" s="28">
        <v>274</v>
      </c>
      <c r="Q16" s="62">
        <v>80</v>
      </c>
    </row>
    <row r="17" spans="1:17" ht="19.5" thickBot="1" x14ac:dyDescent="0.2">
      <c r="A17" s="123"/>
      <c r="B17" s="107"/>
      <c r="C17" s="119"/>
      <c r="D17" s="102"/>
      <c r="E17" s="103"/>
      <c r="F17" s="102"/>
      <c r="G17" s="103"/>
      <c r="H17" s="19"/>
      <c r="I17" s="53">
        <f>I16/H16</f>
        <v>0.19662921348314608</v>
      </c>
      <c r="J17" s="47">
        <f>J16/H16</f>
        <v>0.9438202247191011</v>
      </c>
      <c r="K17" s="53">
        <f>K16/J16</f>
        <v>0.15476190476190477</v>
      </c>
      <c r="L17" s="47">
        <f>L16/J16</f>
        <v>0.9196428571428571</v>
      </c>
      <c r="M17" s="53">
        <f>M16/L16</f>
        <v>0.13592233009708737</v>
      </c>
      <c r="N17" s="47">
        <f>N16/L16</f>
        <v>0.96116504854368934</v>
      </c>
      <c r="O17" s="53">
        <f>O16/N16</f>
        <v>0.21548821548821548</v>
      </c>
      <c r="P17" s="47">
        <f>P16/N16</f>
        <v>0.92255892255892258</v>
      </c>
      <c r="Q17" s="63">
        <f>Q16/P16</f>
        <v>0.29197080291970801</v>
      </c>
    </row>
    <row r="18" spans="1:17" ht="18.75" customHeight="1" x14ac:dyDescent="0.15">
      <c r="A18" s="123"/>
      <c r="B18" s="106" t="s">
        <v>36</v>
      </c>
      <c r="C18" s="118" t="s">
        <v>21</v>
      </c>
      <c r="D18" s="23"/>
      <c r="E18" s="7"/>
      <c r="F18" s="23"/>
      <c r="G18" s="7"/>
      <c r="H18" s="26">
        <v>154</v>
      </c>
      <c r="I18" s="52">
        <v>26</v>
      </c>
      <c r="J18" s="26">
        <v>142</v>
      </c>
      <c r="K18" s="52">
        <v>19</v>
      </c>
      <c r="L18" s="26">
        <v>154</v>
      </c>
      <c r="M18" s="52">
        <v>16</v>
      </c>
      <c r="N18" s="26">
        <v>149</v>
      </c>
      <c r="O18" s="52">
        <v>17</v>
      </c>
      <c r="P18" s="28">
        <v>150</v>
      </c>
      <c r="Q18" s="62">
        <v>26</v>
      </c>
    </row>
    <row r="19" spans="1:17" ht="19.5" thickBot="1" x14ac:dyDescent="0.2">
      <c r="A19" s="124"/>
      <c r="B19" s="107"/>
      <c r="C19" s="119"/>
      <c r="D19" s="102"/>
      <c r="E19" s="103"/>
      <c r="F19" s="102"/>
      <c r="G19" s="103"/>
      <c r="H19" s="19"/>
      <c r="I19" s="53">
        <f>I18/H18</f>
        <v>0.16883116883116883</v>
      </c>
      <c r="J19" s="47">
        <f>J18/H18</f>
        <v>0.92207792207792205</v>
      </c>
      <c r="K19" s="53">
        <f>K18/J18</f>
        <v>0.13380281690140844</v>
      </c>
      <c r="L19" s="47">
        <f>L18/J18</f>
        <v>1.0845070422535212</v>
      </c>
      <c r="M19" s="53">
        <f>M18/L18</f>
        <v>0.1038961038961039</v>
      </c>
      <c r="N19" s="47">
        <f>N18/L18</f>
        <v>0.96753246753246758</v>
      </c>
      <c r="O19" s="53">
        <f>O18/N18</f>
        <v>0.11409395973154363</v>
      </c>
      <c r="P19" s="47">
        <f>P18/N18</f>
        <v>1.0067114093959733</v>
      </c>
      <c r="Q19" s="63">
        <f>Q18/P18</f>
        <v>0.17333333333333334</v>
      </c>
    </row>
    <row r="20" spans="1:17" ht="18.75" customHeight="1" x14ac:dyDescent="0.15">
      <c r="A20" s="120" t="s">
        <v>189</v>
      </c>
      <c r="B20" s="104" t="s">
        <v>57</v>
      </c>
      <c r="C20" s="118" t="s">
        <v>21</v>
      </c>
      <c r="D20" s="26">
        <v>207</v>
      </c>
      <c r="E20" s="52">
        <v>57</v>
      </c>
      <c r="F20" s="23"/>
      <c r="G20" s="7"/>
      <c r="H20" s="26">
        <v>248</v>
      </c>
      <c r="I20" s="52">
        <v>60</v>
      </c>
      <c r="J20" s="23"/>
      <c r="K20" s="7"/>
      <c r="L20" s="26">
        <v>210</v>
      </c>
      <c r="M20" s="52">
        <v>33</v>
      </c>
      <c r="N20" s="26">
        <v>198</v>
      </c>
      <c r="O20" s="52">
        <v>36</v>
      </c>
      <c r="P20" s="28">
        <v>149</v>
      </c>
      <c r="Q20" s="62">
        <v>30</v>
      </c>
    </row>
    <row r="21" spans="1:17" ht="19.5" thickBot="1" x14ac:dyDescent="0.2">
      <c r="A21" s="124"/>
      <c r="B21" s="105"/>
      <c r="C21" s="119"/>
      <c r="D21" s="19"/>
      <c r="E21" s="53">
        <f>E20/D20</f>
        <v>0.27536231884057971</v>
      </c>
      <c r="F21" s="100"/>
      <c r="G21" s="97"/>
      <c r="H21" s="47">
        <f>H20/D20</f>
        <v>1.1980676328502415</v>
      </c>
      <c r="I21" s="53">
        <f>I20/H20</f>
        <v>0.24193548387096775</v>
      </c>
      <c r="J21" s="100"/>
      <c r="K21" s="97"/>
      <c r="L21" s="47">
        <f>L20/H20</f>
        <v>0.84677419354838712</v>
      </c>
      <c r="M21" s="53">
        <f>M20/L20</f>
        <v>0.15714285714285714</v>
      </c>
      <c r="N21" s="47">
        <f>N20/L20</f>
        <v>0.94285714285714284</v>
      </c>
      <c r="O21" s="53">
        <f>O20/N20</f>
        <v>0.18181818181818182</v>
      </c>
      <c r="P21" s="47">
        <f>P20/N20</f>
        <v>0.75252525252525249</v>
      </c>
      <c r="Q21" s="63">
        <f>Q20/P20</f>
        <v>0.20134228187919462</v>
      </c>
    </row>
    <row r="22" spans="1:17" ht="18.75" customHeight="1" x14ac:dyDescent="0.15">
      <c r="A22" s="120" t="s">
        <v>190</v>
      </c>
      <c r="B22" s="104" t="s">
        <v>194</v>
      </c>
      <c r="C22" s="118" t="s">
        <v>38</v>
      </c>
      <c r="D22" s="23"/>
      <c r="E22" s="7"/>
      <c r="F22" s="23"/>
      <c r="G22" s="7"/>
      <c r="H22" s="26">
        <v>41</v>
      </c>
      <c r="I22" s="52">
        <v>1</v>
      </c>
      <c r="J22" s="26">
        <v>51</v>
      </c>
      <c r="K22" s="52">
        <v>1</v>
      </c>
      <c r="L22" s="26">
        <v>56</v>
      </c>
      <c r="M22" s="52">
        <v>1</v>
      </c>
      <c r="N22" s="26">
        <v>59</v>
      </c>
      <c r="O22" s="52">
        <v>0</v>
      </c>
      <c r="P22" s="28">
        <v>56</v>
      </c>
      <c r="Q22" s="62">
        <v>2</v>
      </c>
    </row>
    <row r="23" spans="1:17" ht="19.5" thickBot="1" x14ac:dyDescent="0.2">
      <c r="A23" s="124"/>
      <c r="B23" s="105"/>
      <c r="C23" s="119"/>
      <c r="D23" s="100"/>
      <c r="E23" s="97"/>
      <c r="F23" s="100"/>
      <c r="G23" s="97"/>
      <c r="H23" s="19"/>
      <c r="I23" s="53">
        <f>I22/H22</f>
        <v>2.4390243902439025E-2</v>
      </c>
      <c r="J23" s="47">
        <f>J22/H22</f>
        <v>1.2439024390243902</v>
      </c>
      <c r="K23" s="53">
        <f>K22/J22</f>
        <v>1.9607843137254902E-2</v>
      </c>
      <c r="L23" s="47">
        <f>L22/J22</f>
        <v>1.0980392156862746</v>
      </c>
      <c r="M23" s="53">
        <f>M22/L22</f>
        <v>1.7857142857142856E-2</v>
      </c>
      <c r="N23" s="47">
        <f>N22/L22</f>
        <v>1.0535714285714286</v>
      </c>
      <c r="O23" s="53">
        <f>O22/N22</f>
        <v>0</v>
      </c>
      <c r="P23" s="47">
        <f>P22/N22</f>
        <v>0.94915254237288138</v>
      </c>
      <c r="Q23" s="63">
        <f>Q22/P22</f>
        <v>3.5714285714285712E-2</v>
      </c>
    </row>
    <row r="24" spans="1:17" ht="22.5" x14ac:dyDescent="0.15">
      <c r="A24" s="106" t="s">
        <v>80</v>
      </c>
      <c r="B24" s="108" t="s">
        <v>110</v>
      </c>
      <c r="C24" s="118" t="s">
        <v>38</v>
      </c>
      <c r="D24" s="26">
        <v>166</v>
      </c>
      <c r="E24" s="52">
        <v>0</v>
      </c>
      <c r="F24" s="26">
        <v>202</v>
      </c>
      <c r="G24" s="52">
        <v>0</v>
      </c>
      <c r="H24" s="26">
        <v>226</v>
      </c>
      <c r="I24" s="52">
        <v>0</v>
      </c>
      <c r="J24" s="26">
        <v>232</v>
      </c>
      <c r="K24" s="52">
        <v>0</v>
      </c>
      <c r="L24" s="26">
        <v>217</v>
      </c>
      <c r="M24" s="52">
        <v>0</v>
      </c>
      <c r="N24" s="26">
        <v>221</v>
      </c>
      <c r="O24" s="52">
        <v>0</v>
      </c>
      <c r="P24" s="28">
        <v>198</v>
      </c>
      <c r="Q24" s="62">
        <v>0</v>
      </c>
    </row>
    <row r="25" spans="1:17" ht="19.5" thickBot="1" x14ac:dyDescent="0.2">
      <c r="A25" s="107"/>
      <c r="B25" s="107"/>
      <c r="C25" s="119"/>
      <c r="D25" s="19"/>
      <c r="E25" s="53">
        <f>E24/D24</f>
        <v>0</v>
      </c>
      <c r="F25" s="47">
        <f>F24/D24</f>
        <v>1.2168674698795181</v>
      </c>
      <c r="G25" s="53">
        <f>G24/F24</f>
        <v>0</v>
      </c>
      <c r="H25" s="47">
        <f>H24/F24</f>
        <v>1.1188118811881189</v>
      </c>
      <c r="I25" s="53">
        <f>I24/H24</f>
        <v>0</v>
      </c>
      <c r="J25" s="47">
        <f>J24/H24</f>
        <v>1.0265486725663717</v>
      </c>
      <c r="K25" s="53">
        <f>K24/J24</f>
        <v>0</v>
      </c>
      <c r="L25" s="47">
        <f>L24/J24</f>
        <v>0.93534482758620685</v>
      </c>
      <c r="M25" s="53">
        <f>M24/L24</f>
        <v>0</v>
      </c>
      <c r="N25" s="47">
        <f>N24/L24</f>
        <v>1.0184331797235022</v>
      </c>
      <c r="O25" s="53">
        <f>O24/N24</f>
        <v>0</v>
      </c>
      <c r="P25" s="47">
        <f>P24/N24</f>
        <v>0.89592760180995479</v>
      </c>
      <c r="Q25" s="53">
        <f>Q24/P24</f>
        <v>0</v>
      </c>
    </row>
    <row r="34" ht="19.5" customHeight="1" x14ac:dyDescent="0.15"/>
    <row r="40" ht="19.5" customHeight="1" x14ac:dyDescent="0.15"/>
    <row r="50" ht="19.5" customHeight="1" x14ac:dyDescent="0.15"/>
    <row r="54" ht="19.5" customHeight="1" x14ac:dyDescent="0.15"/>
    <row r="64" ht="19.5" customHeight="1" x14ac:dyDescent="0.15"/>
    <row r="68" ht="18.75" customHeight="1" x14ac:dyDescent="0.15"/>
    <row r="70" ht="18.75" customHeight="1" x14ac:dyDescent="0.15"/>
    <row r="72" ht="18.75" customHeight="1" x14ac:dyDescent="0.15"/>
    <row r="76" ht="18.75" customHeight="1" x14ac:dyDescent="0.15"/>
    <row r="78" ht="18.75" customHeight="1" x14ac:dyDescent="0.15"/>
    <row r="80" ht="18.75" customHeight="1" x14ac:dyDescent="0.15"/>
    <row r="82" ht="18.75" customHeight="1" x14ac:dyDescent="0.15"/>
    <row r="84" ht="18.75" customHeight="1" x14ac:dyDescent="0.15"/>
  </sheetData>
  <mergeCells count="44">
    <mergeCell ref="A6:A7"/>
    <mergeCell ref="B6:B7"/>
    <mergeCell ref="C6:C7"/>
    <mergeCell ref="P3:Q3"/>
    <mergeCell ref="F21:G21"/>
    <mergeCell ref="J21:K21"/>
    <mergeCell ref="D3:E3"/>
    <mergeCell ref="F3:G3"/>
    <mergeCell ref="H3:I3"/>
    <mergeCell ref="J3:K3"/>
    <mergeCell ref="L3:M3"/>
    <mergeCell ref="N3:O3"/>
    <mergeCell ref="F15:G15"/>
    <mergeCell ref="D15:E15"/>
    <mergeCell ref="D19:E19"/>
    <mergeCell ref="F19:G19"/>
    <mergeCell ref="D17:E17"/>
    <mergeCell ref="F17:G17"/>
    <mergeCell ref="F23:G23"/>
    <mergeCell ref="A8:A9"/>
    <mergeCell ref="B8:B9"/>
    <mergeCell ref="C8:C9"/>
    <mergeCell ref="A14:A19"/>
    <mergeCell ref="B12:B13"/>
    <mergeCell ref="C12:C13"/>
    <mergeCell ref="B14:B15"/>
    <mergeCell ref="C14:C15"/>
    <mergeCell ref="A20:A21"/>
    <mergeCell ref="B20:B21"/>
    <mergeCell ref="C20:C21"/>
    <mergeCell ref="A10:A13"/>
    <mergeCell ref="B10:B11"/>
    <mergeCell ref="A24:A25"/>
    <mergeCell ref="B24:B25"/>
    <mergeCell ref="C24:C25"/>
    <mergeCell ref="A22:A23"/>
    <mergeCell ref="D23:E23"/>
    <mergeCell ref="B22:B23"/>
    <mergeCell ref="C22:C23"/>
    <mergeCell ref="C10:C11"/>
    <mergeCell ref="B18:B19"/>
    <mergeCell ref="C18:C19"/>
    <mergeCell ref="B16:B17"/>
    <mergeCell ref="C16:C17"/>
  </mergeCells>
  <phoneticPr fontId="2"/>
  <conditionalFormatting sqref="F25 H25 J25 L25 N25 P23 N23 L23 J23 H21 L21 N21 P21 P19 N19 L19 J19 J17 L17 N17 P17 P15 N15 L15 J15 H13 J13 L13 N13 P13 P11 N11 L11 J11 H11 F13 F11 P9 P7 N9 N7 L9 L7 J9 J7 H9 H7 F9 F7">
    <cfRule type="cellIs" dxfId="29" priority="3" operator="lessThan">
      <formula>1</formula>
    </cfRule>
    <cfRule type="cellIs" dxfId="28" priority="4" operator="greaterThanOrEqual">
      <formula>1</formula>
    </cfRule>
  </conditionalFormatting>
  <conditionalFormatting sqref="P25">
    <cfRule type="cellIs" dxfId="27" priority="1" operator="lessThan">
      <formula>1</formula>
    </cfRule>
    <cfRule type="cellIs" dxfId="26" priority="2" operator="greaterThanOrEqual">
      <formula>1</formula>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83CA-AA8F-4C0A-A8B5-3B37BAD18131}">
  <dimension ref="A2:R120"/>
  <sheetViews>
    <sheetView showGridLines="0" topLeftCell="A40" zoomScale="80" zoomScaleNormal="80" workbookViewId="0">
      <selection activeCell="Q63" sqref="Q63"/>
    </sheetView>
  </sheetViews>
  <sheetFormatPr defaultRowHeight="18.75" x14ac:dyDescent="0.15"/>
  <cols>
    <col min="1" max="1" width="22.125" style="1" bestFit="1" customWidth="1"/>
    <col min="2" max="2" width="34.25" style="2" customWidth="1"/>
    <col min="3" max="3" width="8.625" style="2" customWidth="1"/>
    <col min="4" max="4" width="7.5" style="1" bestFit="1" customWidth="1"/>
    <col min="5" max="5" width="7.625" style="1" bestFit="1" customWidth="1"/>
    <col min="6" max="6" width="9.625" style="1" bestFit="1" customWidth="1"/>
    <col min="7" max="7" width="7.625" style="1" bestFit="1" customWidth="1"/>
    <col min="8" max="8" width="9.625" style="1" bestFit="1" customWidth="1"/>
    <col min="9" max="9" width="7.625" style="1" bestFit="1" customWidth="1"/>
    <col min="10" max="10" width="9.625" style="1" bestFit="1" customWidth="1"/>
    <col min="11" max="11" width="7.625" style="1" bestFit="1" customWidth="1"/>
    <col min="12" max="12" width="9.625" style="1" bestFit="1" customWidth="1"/>
    <col min="13" max="13" width="7.625" style="1" bestFit="1" customWidth="1"/>
    <col min="14" max="14" width="9.625" style="1" bestFit="1" customWidth="1"/>
    <col min="15" max="15" width="7.625" style="1" bestFit="1" customWidth="1"/>
    <col min="16" max="16" width="9.625" style="1" bestFit="1" customWidth="1"/>
    <col min="17" max="17" width="9.5" style="1" bestFit="1" customWidth="1"/>
    <col min="18" max="16384" width="9" style="1"/>
  </cols>
  <sheetData>
    <row r="2" spans="1:18" ht="33.75" thickBot="1" x14ac:dyDescent="0.2">
      <c r="B2" s="10"/>
    </row>
    <row r="3" spans="1:18" ht="19.5" thickBot="1" x14ac:dyDescent="0.2">
      <c r="D3" s="94">
        <v>2019</v>
      </c>
      <c r="E3" s="95"/>
      <c r="F3" s="94">
        <v>2020</v>
      </c>
      <c r="G3" s="95"/>
      <c r="H3" s="94">
        <v>2021</v>
      </c>
      <c r="I3" s="95"/>
      <c r="J3" s="94">
        <v>2022</v>
      </c>
      <c r="K3" s="95"/>
      <c r="L3" s="94">
        <v>2023</v>
      </c>
      <c r="M3" s="95"/>
      <c r="N3" s="94">
        <v>2024</v>
      </c>
      <c r="O3" s="95"/>
      <c r="P3" s="94">
        <v>2025</v>
      </c>
      <c r="Q3" s="95"/>
    </row>
    <row r="4" spans="1:18"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8"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8" ht="22.5" x14ac:dyDescent="0.15">
      <c r="A6" s="139" t="s">
        <v>0</v>
      </c>
      <c r="B6" s="141" t="s">
        <v>97</v>
      </c>
      <c r="C6" s="142" t="s">
        <v>38</v>
      </c>
      <c r="D6" s="25">
        <v>395</v>
      </c>
      <c r="E6" s="50">
        <v>45</v>
      </c>
      <c r="F6" s="25">
        <v>401</v>
      </c>
      <c r="G6" s="50">
        <v>34</v>
      </c>
      <c r="H6" s="25">
        <v>385</v>
      </c>
      <c r="I6" s="50">
        <v>29</v>
      </c>
      <c r="J6" s="25">
        <v>346</v>
      </c>
      <c r="K6" s="50">
        <v>18</v>
      </c>
      <c r="L6" s="25">
        <v>295</v>
      </c>
      <c r="M6" s="50">
        <v>13</v>
      </c>
      <c r="N6" s="25">
        <v>273</v>
      </c>
      <c r="O6" s="50">
        <v>16</v>
      </c>
      <c r="P6" s="30">
        <v>275</v>
      </c>
      <c r="Q6" s="60">
        <v>19</v>
      </c>
    </row>
    <row r="7" spans="1:18" ht="19.5" thickBot="1" x14ac:dyDescent="0.2">
      <c r="A7" s="131"/>
      <c r="B7" s="112"/>
      <c r="C7" s="143"/>
      <c r="D7" s="24"/>
      <c r="E7" s="51">
        <f>E6/D6</f>
        <v>0.11392405063291139</v>
      </c>
      <c r="F7" s="16">
        <f>F6/D6</f>
        <v>1.0151898734177216</v>
      </c>
      <c r="G7" s="57">
        <f>G6/F6</f>
        <v>8.4788029925187039E-2</v>
      </c>
      <c r="H7" s="16">
        <f>H6/F6</f>
        <v>0.96009975062344144</v>
      </c>
      <c r="I7" s="57">
        <f>I6/H6</f>
        <v>7.5324675324675322E-2</v>
      </c>
      <c r="J7" s="16">
        <f>J6/H6</f>
        <v>0.89870129870129867</v>
      </c>
      <c r="K7" s="57">
        <f>K6/J6</f>
        <v>5.2023121387283239E-2</v>
      </c>
      <c r="L7" s="16">
        <f>L6/J6</f>
        <v>0.85260115606936415</v>
      </c>
      <c r="M7" s="57">
        <f>M6/L6</f>
        <v>4.4067796610169491E-2</v>
      </c>
      <c r="N7" s="16">
        <f>N6/L6</f>
        <v>0.92542372881355928</v>
      </c>
      <c r="O7" s="57">
        <f>O6/N6</f>
        <v>5.8608058608058608E-2</v>
      </c>
      <c r="P7" s="16">
        <f>P6/N6</f>
        <v>1.0073260073260073</v>
      </c>
      <c r="Q7" s="57">
        <f>Q6/P6</f>
        <v>6.9090909090909092E-2</v>
      </c>
    </row>
    <row r="8" spans="1:18" ht="22.5" x14ac:dyDescent="0.15">
      <c r="A8" s="139" t="s">
        <v>1</v>
      </c>
      <c r="B8" s="141" t="s">
        <v>97</v>
      </c>
      <c r="C8" s="142" t="s">
        <v>38</v>
      </c>
      <c r="D8" s="25">
        <v>354</v>
      </c>
      <c r="E8" s="50">
        <v>15</v>
      </c>
      <c r="F8" s="25">
        <v>395</v>
      </c>
      <c r="G8" s="50">
        <v>18</v>
      </c>
      <c r="H8" s="25">
        <v>394</v>
      </c>
      <c r="I8" s="50">
        <v>13</v>
      </c>
      <c r="J8" s="25">
        <v>347</v>
      </c>
      <c r="K8" s="50">
        <v>13</v>
      </c>
      <c r="L8" s="25">
        <v>285</v>
      </c>
      <c r="M8" s="50">
        <v>7</v>
      </c>
      <c r="N8" s="25">
        <v>250</v>
      </c>
      <c r="O8" s="50">
        <v>7</v>
      </c>
      <c r="P8" s="31">
        <v>252</v>
      </c>
      <c r="Q8" s="61">
        <v>6</v>
      </c>
    </row>
    <row r="9" spans="1:18" ht="19.5" thickBot="1" x14ac:dyDescent="0.2">
      <c r="A9" s="131"/>
      <c r="B9" s="112"/>
      <c r="C9" s="143"/>
      <c r="D9" s="24"/>
      <c r="E9" s="51">
        <f>E8/D8</f>
        <v>4.2372881355932202E-2</v>
      </c>
      <c r="F9" s="16">
        <f>F8/D8</f>
        <v>1.115819209039548</v>
      </c>
      <c r="G9" s="57">
        <f>G8/F8</f>
        <v>4.5569620253164557E-2</v>
      </c>
      <c r="H9" s="16">
        <f>H8/F8</f>
        <v>0.99746835443037973</v>
      </c>
      <c r="I9" s="57">
        <f>I8/H8</f>
        <v>3.2994923857868022E-2</v>
      </c>
      <c r="J9" s="16">
        <f>J8/H8</f>
        <v>0.88071065989847719</v>
      </c>
      <c r="K9" s="57">
        <f>K8/J8</f>
        <v>3.7463976945244955E-2</v>
      </c>
      <c r="L9" s="16">
        <f>L8/J8</f>
        <v>0.82132564841498557</v>
      </c>
      <c r="M9" s="57">
        <f>M8/L8</f>
        <v>2.456140350877193E-2</v>
      </c>
      <c r="N9" s="16">
        <f>N8/L8</f>
        <v>0.8771929824561403</v>
      </c>
      <c r="O9" s="57">
        <f>O8/N8</f>
        <v>2.8000000000000001E-2</v>
      </c>
      <c r="P9" s="16">
        <f>P8/N8</f>
        <v>1.008</v>
      </c>
      <c r="Q9" s="57">
        <f>Q8/P8</f>
        <v>2.3809523809523808E-2</v>
      </c>
    </row>
    <row r="10" spans="1:18" ht="18.75" customHeight="1" x14ac:dyDescent="0.15">
      <c r="A10" s="104" t="s">
        <v>76</v>
      </c>
      <c r="B10" s="108" t="s">
        <v>98</v>
      </c>
      <c r="C10" s="118" t="s">
        <v>14</v>
      </c>
      <c r="D10" s="26">
        <v>78</v>
      </c>
      <c r="E10" s="52">
        <v>29</v>
      </c>
      <c r="F10" s="26">
        <v>79</v>
      </c>
      <c r="G10" s="52">
        <v>29</v>
      </c>
      <c r="H10" s="26">
        <v>96</v>
      </c>
      <c r="I10" s="52">
        <v>17</v>
      </c>
      <c r="J10" s="26">
        <v>151</v>
      </c>
      <c r="K10" s="52">
        <v>20</v>
      </c>
      <c r="L10" s="26">
        <v>96</v>
      </c>
      <c r="M10" s="52">
        <v>9</v>
      </c>
      <c r="N10" s="26">
        <v>143</v>
      </c>
      <c r="O10" s="52">
        <v>16</v>
      </c>
      <c r="P10" s="28">
        <v>291</v>
      </c>
      <c r="Q10" s="62">
        <v>38</v>
      </c>
      <c r="R10" s="1" t="s">
        <v>368</v>
      </c>
    </row>
    <row r="11" spans="1:18" ht="19.5" thickBot="1" x14ac:dyDescent="0.2">
      <c r="A11" s="117"/>
      <c r="B11" s="107"/>
      <c r="C11" s="119"/>
      <c r="D11" s="19"/>
      <c r="E11" s="53">
        <f>E10/D10</f>
        <v>0.37179487179487181</v>
      </c>
      <c r="F11" s="47">
        <f>F10/D10</f>
        <v>1.0128205128205128</v>
      </c>
      <c r="G11" s="53">
        <f>G10/F10</f>
        <v>0.36708860759493672</v>
      </c>
      <c r="H11" s="47">
        <f>H10/F10</f>
        <v>1.2151898734177216</v>
      </c>
      <c r="I11" s="53">
        <f>I10/H10</f>
        <v>0.17708333333333334</v>
      </c>
      <c r="J11" s="47">
        <f>J10/H10</f>
        <v>1.5729166666666667</v>
      </c>
      <c r="K11" s="53">
        <f>K10/J10</f>
        <v>0.13245033112582782</v>
      </c>
      <c r="L11" s="47">
        <f>L10/J10</f>
        <v>0.63576158940397354</v>
      </c>
      <c r="M11" s="53">
        <f>M10/L10</f>
        <v>9.375E-2</v>
      </c>
      <c r="N11" s="47">
        <f>N10/L10</f>
        <v>1.4895833333333333</v>
      </c>
      <c r="O11" s="53">
        <f>O10/N10</f>
        <v>0.11188811188811189</v>
      </c>
      <c r="P11" s="47">
        <f>P10/N10</f>
        <v>2.034965034965035</v>
      </c>
      <c r="Q11" s="63">
        <f>Q10/P10</f>
        <v>0.13058419243986255</v>
      </c>
    </row>
    <row r="12" spans="1:18" ht="18.75" customHeight="1" x14ac:dyDescent="0.15">
      <c r="A12" s="129" t="s">
        <v>77</v>
      </c>
      <c r="B12" s="106" t="s">
        <v>35</v>
      </c>
      <c r="C12" s="118" t="s">
        <v>21</v>
      </c>
      <c r="D12" s="23"/>
      <c r="E12" s="7"/>
      <c r="F12" s="23"/>
      <c r="G12" s="7"/>
      <c r="H12" s="26">
        <v>70</v>
      </c>
      <c r="I12" s="52">
        <v>17</v>
      </c>
      <c r="J12" s="26">
        <v>60</v>
      </c>
      <c r="K12" s="52">
        <v>12</v>
      </c>
      <c r="L12" s="26">
        <v>62</v>
      </c>
      <c r="M12" s="52">
        <v>10</v>
      </c>
      <c r="N12" s="26">
        <v>69</v>
      </c>
      <c r="O12" s="52">
        <v>11</v>
      </c>
      <c r="P12" s="28">
        <v>77</v>
      </c>
      <c r="Q12" s="62">
        <v>14</v>
      </c>
    </row>
    <row r="13" spans="1:18" ht="19.5" thickBot="1" x14ac:dyDescent="0.2">
      <c r="A13" s="123"/>
      <c r="B13" s="107"/>
      <c r="C13" s="119"/>
      <c r="D13" s="102"/>
      <c r="E13" s="103"/>
      <c r="F13" s="102"/>
      <c r="G13" s="103"/>
      <c r="H13" s="19"/>
      <c r="I13" s="53">
        <f>I12/H12</f>
        <v>0.24285714285714285</v>
      </c>
      <c r="J13" s="47">
        <f>J12/H12</f>
        <v>0.8571428571428571</v>
      </c>
      <c r="K13" s="53">
        <f>K12/J12</f>
        <v>0.2</v>
      </c>
      <c r="L13" s="47">
        <f>L12/J12</f>
        <v>1.0333333333333334</v>
      </c>
      <c r="M13" s="53">
        <f>M12/L12</f>
        <v>0.16129032258064516</v>
      </c>
      <c r="N13" s="47">
        <f>N12/L12</f>
        <v>1.1129032258064515</v>
      </c>
      <c r="O13" s="53">
        <f>O12/N12</f>
        <v>0.15942028985507245</v>
      </c>
      <c r="P13" s="47">
        <f>P12/N12</f>
        <v>1.1159420289855073</v>
      </c>
      <c r="Q13" s="63">
        <f>Q12/P12</f>
        <v>0.18181818181818182</v>
      </c>
    </row>
    <row r="14" spans="1:18" ht="22.5" x14ac:dyDescent="0.15">
      <c r="A14" s="129" t="s">
        <v>92</v>
      </c>
      <c r="B14" s="104" t="s">
        <v>67</v>
      </c>
      <c r="C14" s="118" t="s">
        <v>14</v>
      </c>
      <c r="D14" s="23"/>
      <c r="E14" s="7"/>
      <c r="F14" s="23"/>
      <c r="G14" s="7"/>
      <c r="H14" s="26">
        <v>124</v>
      </c>
      <c r="I14" s="59">
        <v>4</v>
      </c>
      <c r="J14" s="27">
        <v>124</v>
      </c>
      <c r="K14" s="59">
        <v>7</v>
      </c>
      <c r="L14" s="27">
        <v>116</v>
      </c>
      <c r="M14" s="59">
        <v>3</v>
      </c>
      <c r="N14" s="27">
        <v>89</v>
      </c>
      <c r="O14" s="59">
        <v>1</v>
      </c>
      <c r="P14" s="86">
        <v>76</v>
      </c>
      <c r="Q14" s="88">
        <v>2</v>
      </c>
    </row>
    <row r="15" spans="1:18" ht="19.5" thickBot="1" x14ac:dyDescent="0.2">
      <c r="A15" s="123"/>
      <c r="B15" s="105"/>
      <c r="C15" s="119"/>
      <c r="D15" s="100"/>
      <c r="E15" s="97"/>
      <c r="F15" s="100"/>
      <c r="G15" s="97"/>
      <c r="H15" s="19"/>
      <c r="I15" s="53">
        <f>I14/H14</f>
        <v>3.2258064516129031E-2</v>
      </c>
      <c r="J15" s="47">
        <f>J14/H14</f>
        <v>1</v>
      </c>
      <c r="K15" s="53">
        <f>K14/J14</f>
        <v>5.6451612903225805E-2</v>
      </c>
      <c r="L15" s="47">
        <f>L14/J14</f>
        <v>0.93548387096774188</v>
      </c>
      <c r="M15" s="53">
        <f>M14/L14</f>
        <v>2.5862068965517241E-2</v>
      </c>
      <c r="N15" s="47">
        <f>N14/L14</f>
        <v>0.76724137931034486</v>
      </c>
      <c r="O15" s="53">
        <f>O14/N14</f>
        <v>1.1235955056179775E-2</v>
      </c>
      <c r="P15" s="47">
        <f>P14/N14</f>
        <v>0.8539325842696629</v>
      </c>
      <c r="Q15" s="63">
        <f>Q14/P14</f>
        <v>2.6315789473684209E-2</v>
      </c>
    </row>
    <row r="16" spans="1:18" ht="22.5" x14ac:dyDescent="0.15">
      <c r="A16" s="123"/>
      <c r="B16" s="104" t="s">
        <v>68</v>
      </c>
      <c r="C16" s="118" t="s">
        <v>14</v>
      </c>
      <c r="D16" s="23"/>
      <c r="E16" s="7"/>
      <c r="F16" s="23"/>
      <c r="G16" s="7"/>
      <c r="H16" s="26">
        <v>160</v>
      </c>
      <c r="I16" s="59">
        <v>7</v>
      </c>
      <c r="J16" s="27">
        <v>138</v>
      </c>
      <c r="K16" s="59">
        <v>2</v>
      </c>
      <c r="L16" s="27">
        <v>115</v>
      </c>
      <c r="M16" s="59">
        <v>3</v>
      </c>
      <c r="N16" s="27">
        <v>83</v>
      </c>
      <c r="O16" s="59">
        <v>3</v>
      </c>
      <c r="P16" s="86">
        <v>79</v>
      </c>
      <c r="Q16" s="88">
        <v>4</v>
      </c>
    </row>
    <row r="17" spans="1:17" ht="19.5" thickBot="1" x14ac:dyDescent="0.2">
      <c r="A17" s="123"/>
      <c r="B17" s="105"/>
      <c r="C17" s="119"/>
      <c r="D17" s="100"/>
      <c r="E17" s="97"/>
      <c r="F17" s="100"/>
      <c r="G17" s="97"/>
      <c r="H17" s="19"/>
      <c r="I17" s="53">
        <f>I16/H16</f>
        <v>4.3749999999999997E-2</v>
      </c>
      <c r="J17" s="47">
        <f>J16/H16</f>
        <v>0.86250000000000004</v>
      </c>
      <c r="K17" s="53">
        <f>K16/J16</f>
        <v>1.4492753623188406E-2</v>
      </c>
      <c r="L17" s="47">
        <f>L16/J16</f>
        <v>0.83333333333333337</v>
      </c>
      <c r="M17" s="53">
        <f>M16/L16</f>
        <v>2.6086956521739129E-2</v>
      </c>
      <c r="N17" s="47">
        <f>N16/L16</f>
        <v>0.72173913043478266</v>
      </c>
      <c r="O17" s="53">
        <f>O16/N16</f>
        <v>3.614457831325301E-2</v>
      </c>
      <c r="P17" s="47">
        <f>P16/N16</f>
        <v>0.95180722891566261</v>
      </c>
      <c r="Q17" s="63">
        <f>Q16/P16</f>
        <v>5.0632911392405063E-2</v>
      </c>
    </row>
    <row r="18" spans="1:17" ht="22.5" x14ac:dyDescent="0.15">
      <c r="A18" s="123"/>
      <c r="B18" s="104" t="s">
        <v>69</v>
      </c>
      <c r="C18" s="118" t="s">
        <v>14</v>
      </c>
      <c r="D18" s="23"/>
      <c r="E18" s="7"/>
      <c r="F18" s="23"/>
      <c r="G18" s="7"/>
      <c r="H18" s="26">
        <v>31</v>
      </c>
      <c r="I18" s="59">
        <v>5</v>
      </c>
      <c r="J18" s="27">
        <v>32</v>
      </c>
      <c r="K18" s="59">
        <v>4</v>
      </c>
      <c r="L18" s="27">
        <v>29</v>
      </c>
      <c r="M18" s="59">
        <v>3</v>
      </c>
      <c r="N18" s="27">
        <v>28</v>
      </c>
      <c r="O18" s="59">
        <v>3</v>
      </c>
      <c r="P18" s="86">
        <v>23</v>
      </c>
      <c r="Q18" s="88">
        <v>1</v>
      </c>
    </row>
    <row r="19" spans="1:17" ht="19.5" thickBot="1" x14ac:dyDescent="0.2">
      <c r="A19" s="123"/>
      <c r="B19" s="105"/>
      <c r="C19" s="119"/>
      <c r="D19" s="100"/>
      <c r="E19" s="97"/>
      <c r="F19" s="100"/>
      <c r="G19" s="97"/>
      <c r="H19" s="19"/>
      <c r="I19" s="53">
        <f>I18/H18</f>
        <v>0.16129032258064516</v>
      </c>
      <c r="J19" s="47">
        <f>J18/H18</f>
        <v>1.032258064516129</v>
      </c>
      <c r="K19" s="53">
        <f>K18/J18</f>
        <v>0.125</v>
      </c>
      <c r="L19" s="47">
        <f>L18/J18</f>
        <v>0.90625</v>
      </c>
      <c r="M19" s="53">
        <f>M18/L18</f>
        <v>0.10344827586206896</v>
      </c>
      <c r="N19" s="47">
        <f>N18/L18</f>
        <v>0.96551724137931039</v>
      </c>
      <c r="O19" s="53">
        <f>O18/N18</f>
        <v>0.10714285714285714</v>
      </c>
      <c r="P19" s="47">
        <f>P18/N18</f>
        <v>0.8214285714285714</v>
      </c>
      <c r="Q19" s="63">
        <f>Q18/P18</f>
        <v>4.3478260869565216E-2</v>
      </c>
    </row>
    <row r="20" spans="1:17" ht="22.5" x14ac:dyDescent="0.15">
      <c r="A20" s="123"/>
      <c r="B20" s="104" t="s">
        <v>70</v>
      </c>
      <c r="C20" s="118" t="s">
        <v>21</v>
      </c>
      <c r="D20" s="23"/>
      <c r="E20" s="7"/>
      <c r="F20" s="23"/>
      <c r="G20" s="7"/>
      <c r="H20" s="26">
        <v>11</v>
      </c>
      <c r="I20" s="59">
        <v>2</v>
      </c>
      <c r="J20" s="27">
        <v>7</v>
      </c>
      <c r="K20" s="59">
        <v>2</v>
      </c>
      <c r="L20" s="27">
        <v>7</v>
      </c>
      <c r="M20" s="59">
        <v>1</v>
      </c>
      <c r="N20" s="27">
        <v>9</v>
      </c>
      <c r="O20" s="59">
        <v>0</v>
      </c>
      <c r="P20" s="86">
        <v>10</v>
      </c>
      <c r="Q20" s="88">
        <v>2</v>
      </c>
    </row>
    <row r="21" spans="1:17" ht="19.5" thickBot="1" x14ac:dyDescent="0.2">
      <c r="A21" s="123"/>
      <c r="B21" s="105"/>
      <c r="C21" s="119"/>
      <c r="D21" s="100"/>
      <c r="E21" s="97"/>
      <c r="F21" s="100"/>
      <c r="G21" s="97"/>
      <c r="H21" s="19"/>
      <c r="I21" s="53">
        <f>I20/H20</f>
        <v>0.18181818181818182</v>
      </c>
      <c r="J21" s="47">
        <f>J20/H20</f>
        <v>0.63636363636363635</v>
      </c>
      <c r="K21" s="53">
        <f>K20/J20</f>
        <v>0.2857142857142857</v>
      </c>
      <c r="L21" s="47">
        <f>L20/J20</f>
        <v>1</v>
      </c>
      <c r="M21" s="53">
        <f>M20/L20</f>
        <v>0.14285714285714285</v>
      </c>
      <c r="N21" s="47">
        <f>N20/L20</f>
        <v>1.2857142857142858</v>
      </c>
      <c r="O21" s="53">
        <f>O20/N20</f>
        <v>0</v>
      </c>
      <c r="P21" s="47">
        <f>P20/N20</f>
        <v>1.1111111111111112</v>
      </c>
      <c r="Q21" s="63">
        <f>Q20/P20</f>
        <v>0.2</v>
      </c>
    </row>
    <row r="22" spans="1:17" ht="22.5" x14ac:dyDescent="0.15">
      <c r="A22" s="123"/>
      <c r="B22" s="104" t="s">
        <v>71</v>
      </c>
      <c r="C22" s="118" t="s">
        <v>21</v>
      </c>
      <c r="D22" s="23"/>
      <c r="E22" s="7"/>
      <c r="F22" s="23"/>
      <c r="G22" s="7"/>
      <c r="H22" s="26">
        <v>11</v>
      </c>
      <c r="I22" s="59">
        <v>0</v>
      </c>
      <c r="J22" s="27">
        <v>18</v>
      </c>
      <c r="K22" s="59">
        <v>0</v>
      </c>
      <c r="L22" s="27">
        <v>17</v>
      </c>
      <c r="M22" s="59">
        <v>1</v>
      </c>
      <c r="N22" s="27">
        <v>17</v>
      </c>
      <c r="O22" s="59">
        <v>1</v>
      </c>
      <c r="P22" s="86">
        <v>15</v>
      </c>
      <c r="Q22" s="88">
        <v>0</v>
      </c>
    </row>
    <row r="23" spans="1:17" ht="19.5" thickBot="1" x14ac:dyDescent="0.2">
      <c r="A23" s="123"/>
      <c r="B23" s="105"/>
      <c r="C23" s="119"/>
      <c r="D23" s="100"/>
      <c r="E23" s="97"/>
      <c r="F23" s="100"/>
      <c r="G23" s="97"/>
      <c r="H23" s="19"/>
      <c r="I23" s="53">
        <f>I22/H22</f>
        <v>0</v>
      </c>
      <c r="J23" s="47">
        <f>J22/H22</f>
        <v>1.6363636363636365</v>
      </c>
      <c r="K23" s="53">
        <f>K22/J22</f>
        <v>0</v>
      </c>
      <c r="L23" s="47">
        <f>L22/J22</f>
        <v>0.94444444444444442</v>
      </c>
      <c r="M23" s="53">
        <f>M22/L22</f>
        <v>5.8823529411764705E-2</v>
      </c>
      <c r="N23" s="47">
        <f>N22/L22</f>
        <v>1</v>
      </c>
      <c r="O23" s="53">
        <f>O22/N22</f>
        <v>5.8823529411764705E-2</v>
      </c>
      <c r="P23" s="47">
        <f>P22/N22</f>
        <v>0.88235294117647056</v>
      </c>
      <c r="Q23" s="63">
        <f>Q22/P22</f>
        <v>0</v>
      </c>
    </row>
    <row r="24" spans="1:17" ht="22.5" x14ac:dyDescent="0.15">
      <c r="A24" s="123"/>
      <c r="B24" s="104" t="s">
        <v>72</v>
      </c>
      <c r="C24" s="118" t="s">
        <v>21</v>
      </c>
      <c r="D24" s="23"/>
      <c r="E24" s="7"/>
      <c r="F24" s="23"/>
      <c r="G24" s="7"/>
      <c r="H24" s="26">
        <v>92</v>
      </c>
      <c r="I24" s="59">
        <v>6</v>
      </c>
      <c r="J24" s="27">
        <v>101</v>
      </c>
      <c r="K24" s="59">
        <v>6</v>
      </c>
      <c r="L24" s="27">
        <v>99</v>
      </c>
      <c r="M24" s="59">
        <v>6</v>
      </c>
      <c r="N24" s="27">
        <v>74</v>
      </c>
      <c r="O24" s="59">
        <v>6</v>
      </c>
      <c r="P24" s="86">
        <v>55</v>
      </c>
      <c r="Q24" s="88">
        <v>5</v>
      </c>
    </row>
    <row r="25" spans="1:17" ht="19.5" thickBot="1" x14ac:dyDescent="0.2">
      <c r="A25" s="123"/>
      <c r="B25" s="99"/>
      <c r="C25" s="119"/>
      <c r="D25" s="100"/>
      <c r="E25" s="97"/>
      <c r="F25" s="100"/>
      <c r="G25" s="97"/>
      <c r="H25" s="19"/>
      <c r="I25" s="53">
        <f>I24/H24</f>
        <v>6.5217391304347824E-2</v>
      </c>
      <c r="J25" s="47">
        <f>J24/H24</f>
        <v>1.0978260869565217</v>
      </c>
      <c r="K25" s="53">
        <f>K24/J24</f>
        <v>5.9405940594059403E-2</v>
      </c>
      <c r="L25" s="47">
        <f>L24/J24</f>
        <v>0.98019801980198018</v>
      </c>
      <c r="M25" s="53">
        <f>M24/L24</f>
        <v>6.0606060606060608E-2</v>
      </c>
      <c r="N25" s="47">
        <f>N24/L24</f>
        <v>0.74747474747474751</v>
      </c>
      <c r="O25" s="53">
        <f>O24/N24</f>
        <v>8.1081081081081086E-2</v>
      </c>
      <c r="P25" s="47">
        <f>P24/N24</f>
        <v>0.7432432432432432</v>
      </c>
      <c r="Q25" s="63">
        <f>Q24/P24</f>
        <v>9.0909090909090912E-2</v>
      </c>
    </row>
    <row r="26" spans="1:17" ht="22.5" x14ac:dyDescent="0.15">
      <c r="A26" s="123"/>
      <c r="B26" s="104" t="s">
        <v>74</v>
      </c>
      <c r="C26" s="118" t="s">
        <v>21</v>
      </c>
      <c r="D26" s="23"/>
      <c r="E26" s="7"/>
      <c r="F26" s="23"/>
      <c r="G26" s="7"/>
      <c r="H26" s="26">
        <v>117</v>
      </c>
      <c r="I26" s="59">
        <v>9</v>
      </c>
      <c r="J26" s="27">
        <v>105</v>
      </c>
      <c r="K26" s="59">
        <v>5</v>
      </c>
      <c r="L26" s="27">
        <v>91</v>
      </c>
      <c r="M26" s="59">
        <v>5</v>
      </c>
      <c r="N26" s="27">
        <v>89</v>
      </c>
      <c r="O26" s="59">
        <v>9</v>
      </c>
      <c r="P26" s="86">
        <v>83</v>
      </c>
      <c r="Q26" s="88">
        <v>11</v>
      </c>
    </row>
    <row r="27" spans="1:17" ht="19.5" thickBot="1" x14ac:dyDescent="0.2">
      <c r="A27" s="124"/>
      <c r="B27" s="105"/>
      <c r="C27" s="119"/>
      <c r="D27" s="100"/>
      <c r="E27" s="97"/>
      <c r="F27" s="100"/>
      <c r="G27" s="97"/>
      <c r="H27" s="19"/>
      <c r="I27" s="53">
        <f>I26/H26</f>
        <v>7.6923076923076927E-2</v>
      </c>
      <c r="J27" s="47">
        <f>J26/H26</f>
        <v>0.89743589743589747</v>
      </c>
      <c r="K27" s="53">
        <f>K26/J26</f>
        <v>4.7619047619047616E-2</v>
      </c>
      <c r="L27" s="47">
        <f>L26/J26</f>
        <v>0.8666666666666667</v>
      </c>
      <c r="M27" s="53">
        <f>M26/L26</f>
        <v>5.4945054945054944E-2</v>
      </c>
      <c r="N27" s="47">
        <f>N26/L26</f>
        <v>0.97802197802197799</v>
      </c>
      <c r="O27" s="53">
        <f>O26/N26</f>
        <v>0.10112359550561797</v>
      </c>
      <c r="P27" s="47">
        <f>P26/N26</f>
        <v>0.93258426966292129</v>
      </c>
      <c r="Q27" s="63">
        <f>Q26/P26</f>
        <v>0.13253012048192772</v>
      </c>
    </row>
    <row r="28" spans="1:17" ht="19.5" customHeight="1" x14ac:dyDescent="0.15">
      <c r="A28" s="129" t="s">
        <v>10</v>
      </c>
      <c r="B28" s="108" t="s">
        <v>51</v>
      </c>
      <c r="C28" s="118" t="s">
        <v>38</v>
      </c>
      <c r="D28" s="23"/>
      <c r="E28" s="7"/>
      <c r="F28" s="23"/>
      <c r="G28" s="7"/>
      <c r="H28" s="26">
        <v>31</v>
      </c>
      <c r="I28" s="59">
        <v>4</v>
      </c>
      <c r="J28" s="27">
        <v>33</v>
      </c>
      <c r="K28" s="59">
        <v>3</v>
      </c>
      <c r="L28" s="27">
        <v>30</v>
      </c>
      <c r="M28" s="59">
        <v>2</v>
      </c>
      <c r="N28" s="27">
        <v>34</v>
      </c>
      <c r="O28" s="59">
        <v>4</v>
      </c>
      <c r="P28" s="86">
        <v>33</v>
      </c>
      <c r="Q28" s="88">
        <v>1</v>
      </c>
    </row>
    <row r="29" spans="1:17" ht="19.5" thickBot="1" x14ac:dyDescent="0.2">
      <c r="A29" s="123"/>
      <c r="B29" s="107"/>
      <c r="C29" s="119"/>
      <c r="D29" s="102"/>
      <c r="E29" s="103"/>
      <c r="F29" s="102"/>
      <c r="G29" s="103"/>
      <c r="H29" s="19"/>
      <c r="I29" s="53">
        <f>I28/H28</f>
        <v>0.12903225806451613</v>
      </c>
      <c r="J29" s="47">
        <f>J28/H28</f>
        <v>1.064516129032258</v>
      </c>
      <c r="K29" s="53">
        <f>K28/J28</f>
        <v>9.0909090909090912E-2</v>
      </c>
      <c r="L29" s="47">
        <f>L28/J28</f>
        <v>0.90909090909090906</v>
      </c>
      <c r="M29" s="53">
        <f>M28/L28</f>
        <v>6.6666666666666666E-2</v>
      </c>
      <c r="N29" s="47">
        <f>N28/L28</f>
        <v>1.1333333333333333</v>
      </c>
      <c r="O29" s="53">
        <f>O28/N28</f>
        <v>0.11764705882352941</v>
      </c>
      <c r="P29" s="47">
        <f>P28/N28</f>
        <v>0.97058823529411764</v>
      </c>
      <c r="Q29" s="63">
        <f>Q28/P28</f>
        <v>3.0303030303030304E-2</v>
      </c>
    </row>
    <row r="30" spans="1:17" ht="22.5" x14ac:dyDescent="0.15">
      <c r="A30" s="123"/>
      <c r="B30" s="108" t="s">
        <v>52</v>
      </c>
      <c r="C30" s="118" t="s">
        <v>38</v>
      </c>
      <c r="D30" s="23"/>
      <c r="E30" s="7"/>
      <c r="F30" s="23"/>
      <c r="G30" s="7"/>
      <c r="H30" s="26">
        <v>144</v>
      </c>
      <c r="I30" s="59">
        <v>13</v>
      </c>
      <c r="J30" s="27">
        <v>129</v>
      </c>
      <c r="K30" s="59">
        <v>5</v>
      </c>
      <c r="L30" s="27">
        <v>104</v>
      </c>
      <c r="M30" s="59">
        <v>10</v>
      </c>
      <c r="N30" s="27">
        <v>86</v>
      </c>
      <c r="O30" s="59">
        <v>8</v>
      </c>
      <c r="P30" s="86">
        <v>88</v>
      </c>
      <c r="Q30" s="88">
        <v>13</v>
      </c>
    </row>
    <row r="31" spans="1:17" ht="19.5" thickBot="1" x14ac:dyDescent="0.2">
      <c r="A31" s="123"/>
      <c r="B31" s="107"/>
      <c r="C31" s="119"/>
      <c r="D31" s="102"/>
      <c r="E31" s="103"/>
      <c r="F31" s="102"/>
      <c r="G31" s="103"/>
      <c r="H31" s="19"/>
      <c r="I31" s="53">
        <f>I30/H30</f>
        <v>9.0277777777777776E-2</v>
      </c>
      <c r="J31" s="47">
        <f>J30/H30</f>
        <v>0.89583333333333337</v>
      </c>
      <c r="K31" s="53">
        <f>K30/J30</f>
        <v>3.875968992248062E-2</v>
      </c>
      <c r="L31" s="47">
        <f>L30/J30</f>
        <v>0.80620155038759689</v>
      </c>
      <c r="M31" s="53">
        <f>M30/L30</f>
        <v>9.6153846153846159E-2</v>
      </c>
      <c r="N31" s="47">
        <f>N30/L30</f>
        <v>0.82692307692307687</v>
      </c>
      <c r="O31" s="53">
        <f>O30/N30</f>
        <v>9.3023255813953487E-2</v>
      </c>
      <c r="P31" s="47">
        <f>P30/N30</f>
        <v>1.0232558139534884</v>
      </c>
      <c r="Q31" s="63">
        <f>Q30/P30</f>
        <v>0.14772727272727273</v>
      </c>
    </row>
    <row r="32" spans="1:17" ht="22.5" x14ac:dyDescent="0.15">
      <c r="A32" s="123"/>
      <c r="B32" s="106" t="s">
        <v>53</v>
      </c>
      <c r="C32" s="118" t="s">
        <v>21</v>
      </c>
      <c r="D32" s="23"/>
      <c r="E32" s="7"/>
      <c r="F32" s="23"/>
      <c r="G32" s="7"/>
      <c r="H32" s="26">
        <v>110</v>
      </c>
      <c r="I32" s="59">
        <v>29</v>
      </c>
      <c r="J32" s="27">
        <v>80</v>
      </c>
      <c r="K32" s="59">
        <v>23</v>
      </c>
      <c r="L32" s="27">
        <v>80</v>
      </c>
      <c r="M32" s="59">
        <v>23</v>
      </c>
      <c r="N32" s="27">
        <v>37</v>
      </c>
      <c r="O32" s="59">
        <v>12</v>
      </c>
      <c r="P32" s="86">
        <v>37</v>
      </c>
      <c r="Q32" s="88">
        <v>11</v>
      </c>
    </row>
    <row r="33" spans="1:17" ht="19.5" thickBot="1" x14ac:dyDescent="0.2">
      <c r="A33" s="123"/>
      <c r="B33" s="107"/>
      <c r="C33" s="119"/>
      <c r="D33" s="102"/>
      <c r="E33" s="103"/>
      <c r="F33" s="102"/>
      <c r="G33" s="103"/>
      <c r="H33" s="19"/>
      <c r="I33" s="53">
        <f>I32/H32</f>
        <v>0.26363636363636361</v>
      </c>
      <c r="J33" s="47">
        <f>J32/H32</f>
        <v>0.72727272727272729</v>
      </c>
      <c r="K33" s="53">
        <f>K32/J32</f>
        <v>0.28749999999999998</v>
      </c>
      <c r="L33" s="47">
        <f>L32/J32</f>
        <v>1</v>
      </c>
      <c r="M33" s="53">
        <f>M32/L32</f>
        <v>0.28749999999999998</v>
      </c>
      <c r="N33" s="47">
        <f>N32/L32</f>
        <v>0.46250000000000002</v>
      </c>
      <c r="O33" s="53">
        <f>O32/N32</f>
        <v>0.32432432432432434</v>
      </c>
      <c r="P33" s="47">
        <f>P32/N32</f>
        <v>1</v>
      </c>
      <c r="Q33" s="63">
        <f>Q32/P32</f>
        <v>0.29729729729729731</v>
      </c>
    </row>
    <row r="34" spans="1:17" ht="22.5" x14ac:dyDescent="0.15">
      <c r="A34" s="123"/>
      <c r="B34" s="106" t="s">
        <v>35</v>
      </c>
      <c r="C34" s="118" t="s">
        <v>21</v>
      </c>
      <c r="D34" s="23"/>
      <c r="E34" s="7"/>
      <c r="F34" s="23"/>
      <c r="G34" s="7"/>
      <c r="H34" s="26">
        <v>284</v>
      </c>
      <c r="I34" s="59">
        <v>42</v>
      </c>
      <c r="J34" s="27">
        <v>275</v>
      </c>
      <c r="K34" s="59">
        <v>35</v>
      </c>
      <c r="L34" s="27">
        <v>246</v>
      </c>
      <c r="M34" s="59">
        <v>42</v>
      </c>
      <c r="N34" s="27">
        <v>230</v>
      </c>
      <c r="O34" s="59">
        <v>45</v>
      </c>
      <c r="P34" s="86">
        <v>227</v>
      </c>
      <c r="Q34" s="88">
        <v>61</v>
      </c>
    </row>
    <row r="35" spans="1:17" ht="19.5" thickBot="1" x14ac:dyDescent="0.2">
      <c r="A35" s="123"/>
      <c r="B35" s="107"/>
      <c r="C35" s="119"/>
      <c r="D35" s="102"/>
      <c r="E35" s="103"/>
      <c r="F35" s="102"/>
      <c r="G35" s="103"/>
      <c r="H35" s="19"/>
      <c r="I35" s="53">
        <f>I34/H34</f>
        <v>0.14788732394366197</v>
      </c>
      <c r="J35" s="47">
        <f>J34/H34</f>
        <v>0.96830985915492962</v>
      </c>
      <c r="K35" s="53">
        <f>K34/J34</f>
        <v>0.12727272727272726</v>
      </c>
      <c r="L35" s="47">
        <f>L34/J34</f>
        <v>0.89454545454545453</v>
      </c>
      <c r="M35" s="53">
        <f>M34/L34</f>
        <v>0.17073170731707318</v>
      </c>
      <c r="N35" s="47">
        <f>N34/L34</f>
        <v>0.93495934959349591</v>
      </c>
      <c r="O35" s="53">
        <f>O34/N34</f>
        <v>0.19565217391304349</v>
      </c>
      <c r="P35" s="47">
        <f>P34/N34</f>
        <v>0.9869565217391304</v>
      </c>
      <c r="Q35" s="63">
        <f>Q34/P34</f>
        <v>0.2687224669603524</v>
      </c>
    </row>
    <row r="36" spans="1:17" ht="22.5" x14ac:dyDescent="0.15">
      <c r="A36" s="123"/>
      <c r="B36" s="106" t="s">
        <v>54</v>
      </c>
      <c r="C36" s="118" t="s">
        <v>21</v>
      </c>
      <c r="D36" s="23"/>
      <c r="E36" s="7"/>
      <c r="F36" s="23"/>
      <c r="G36" s="7"/>
      <c r="H36" s="26">
        <v>157</v>
      </c>
      <c r="I36" s="59">
        <v>26</v>
      </c>
      <c r="J36" s="27">
        <v>152</v>
      </c>
      <c r="K36" s="59">
        <v>14</v>
      </c>
      <c r="L36" s="27">
        <v>143</v>
      </c>
      <c r="M36" s="59">
        <v>22</v>
      </c>
      <c r="N36" s="27">
        <v>133</v>
      </c>
      <c r="O36" s="59">
        <v>26</v>
      </c>
      <c r="P36" s="86">
        <v>122</v>
      </c>
      <c r="Q36" s="88">
        <v>32</v>
      </c>
    </row>
    <row r="37" spans="1:17" ht="19.5" thickBot="1" x14ac:dyDescent="0.2">
      <c r="A37" s="123"/>
      <c r="B37" s="107"/>
      <c r="C37" s="119"/>
      <c r="D37" s="102"/>
      <c r="E37" s="103"/>
      <c r="F37" s="102"/>
      <c r="G37" s="103"/>
      <c r="H37" s="19"/>
      <c r="I37" s="53">
        <f>I36/H36</f>
        <v>0.16560509554140126</v>
      </c>
      <c r="J37" s="47">
        <f>J36/H36</f>
        <v>0.96815286624203822</v>
      </c>
      <c r="K37" s="53">
        <f>K36/J36</f>
        <v>9.2105263157894732E-2</v>
      </c>
      <c r="L37" s="47">
        <f>L36/J36</f>
        <v>0.94078947368421051</v>
      </c>
      <c r="M37" s="53">
        <f>M36/L36</f>
        <v>0.15384615384615385</v>
      </c>
      <c r="N37" s="47">
        <f>N36/L36</f>
        <v>0.93006993006993011</v>
      </c>
      <c r="O37" s="53">
        <f>O36/N36</f>
        <v>0.19548872180451127</v>
      </c>
      <c r="P37" s="47">
        <f>P36/N36</f>
        <v>0.91729323308270672</v>
      </c>
      <c r="Q37" s="63">
        <f>Q36/P36</f>
        <v>0.26229508196721313</v>
      </c>
    </row>
    <row r="38" spans="1:17" ht="22.5" x14ac:dyDescent="0.15">
      <c r="A38" s="123"/>
      <c r="B38" s="108" t="s">
        <v>56</v>
      </c>
      <c r="C38" s="118" t="s">
        <v>21</v>
      </c>
      <c r="D38" s="23"/>
      <c r="E38" s="7"/>
      <c r="F38" s="23"/>
      <c r="G38" s="7"/>
      <c r="H38" s="26">
        <v>54</v>
      </c>
      <c r="I38" s="59">
        <v>9</v>
      </c>
      <c r="J38" s="27">
        <v>36</v>
      </c>
      <c r="K38" s="59">
        <v>5</v>
      </c>
      <c r="L38" s="27">
        <v>25</v>
      </c>
      <c r="M38" s="59">
        <v>2</v>
      </c>
      <c r="N38" s="27">
        <v>25</v>
      </c>
      <c r="O38" s="59">
        <v>2</v>
      </c>
      <c r="P38" s="86">
        <v>30</v>
      </c>
      <c r="Q38" s="88">
        <v>2</v>
      </c>
    </row>
    <row r="39" spans="1:17" ht="19.5" thickBot="1" x14ac:dyDescent="0.2">
      <c r="A39" s="124"/>
      <c r="B39" s="107"/>
      <c r="C39" s="119"/>
      <c r="D39" s="102"/>
      <c r="E39" s="103"/>
      <c r="F39" s="102"/>
      <c r="G39" s="103"/>
      <c r="H39" s="19"/>
      <c r="I39" s="53">
        <f>I38/H38</f>
        <v>0.16666666666666666</v>
      </c>
      <c r="J39" s="47">
        <f>J38/H38</f>
        <v>0.66666666666666663</v>
      </c>
      <c r="K39" s="53">
        <f>K38/J38</f>
        <v>0.1388888888888889</v>
      </c>
      <c r="L39" s="47">
        <f>L38/J38</f>
        <v>0.69444444444444442</v>
      </c>
      <c r="M39" s="53">
        <f>M38/L38</f>
        <v>0.08</v>
      </c>
      <c r="N39" s="47">
        <f>N38/L38</f>
        <v>1</v>
      </c>
      <c r="O39" s="53">
        <f>O38/N38</f>
        <v>0.08</v>
      </c>
      <c r="P39" s="47">
        <f>P38/N38</f>
        <v>1.2</v>
      </c>
      <c r="Q39" s="63">
        <f>Q38/P38</f>
        <v>6.6666666666666666E-2</v>
      </c>
    </row>
    <row r="40" spans="1:17" ht="18.75" customHeight="1" x14ac:dyDescent="0.15">
      <c r="A40" s="120" t="s">
        <v>106</v>
      </c>
      <c r="B40" s="108" t="s">
        <v>35</v>
      </c>
      <c r="C40" s="118" t="s">
        <v>21</v>
      </c>
      <c r="D40" s="26">
        <v>254</v>
      </c>
      <c r="E40" s="52">
        <v>106</v>
      </c>
      <c r="F40" s="23"/>
      <c r="G40" s="7"/>
      <c r="H40" s="26">
        <v>247</v>
      </c>
      <c r="I40" s="52">
        <v>100</v>
      </c>
      <c r="J40" s="23"/>
      <c r="K40" s="7"/>
      <c r="L40" s="26">
        <v>152</v>
      </c>
      <c r="M40" s="52">
        <v>30</v>
      </c>
      <c r="N40" s="26">
        <v>184</v>
      </c>
      <c r="O40" s="52">
        <v>59</v>
      </c>
      <c r="P40" s="28">
        <v>167</v>
      </c>
      <c r="Q40" s="62">
        <v>70</v>
      </c>
    </row>
    <row r="41" spans="1:17" ht="19.5" customHeight="1" thickBot="1" x14ac:dyDescent="0.2">
      <c r="A41" s="123"/>
      <c r="B41" s="107"/>
      <c r="C41" s="119"/>
      <c r="D41" s="19"/>
      <c r="E41" s="53">
        <f>E40/D40</f>
        <v>0.41732283464566927</v>
      </c>
      <c r="F41" s="102"/>
      <c r="G41" s="103"/>
      <c r="H41" s="47">
        <f>H40/D40</f>
        <v>0.97244094488188981</v>
      </c>
      <c r="I41" s="53">
        <f>I40/H40</f>
        <v>0.40485829959514169</v>
      </c>
      <c r="J41" s="102"/>
      <c r="K41" s="103"/>
      <c r="L41" s="47">
        <f>L40/H40</f>
        <v>0.61538461538461542</v>
      </c>
      <c r="M41" s="53">
        <f>M40/L40</f>
        <v>0.19736842105263158</v>
      </c>
      <c r="N41" s="47">
        <f>N40/L40</f>
        <v>1.2105263157894737</v>
      </c>
      <c r="O41" s="53">
        <f>O40/N40</f>
        <v>0.32065217391304346</v>
      </c>
      <c r="P41" s="47">
        <f>P40/N40</f>
        <v>0.90760869565217395</v>
      </c>
      <c r="Q41" s="63">
        <f>Q40/P40</f>
        <v>0.41916167664670656</v>
      </c>
    </row>
    <row r="42" spans="1:17" ht="19.5" customHeight="1" x14ac:dyDescent="0.15">
      <c r="A42" s="123"/>
      <c r="B42" s="108" t="s">
        <v>54</v>
      </c>
      <c r="C42" s="118" t="s">
        <v>21</v>
      </c>
      <c r="D42" s="26">
        <v>371</v>
      </c>
      <c r="E42" s="52">
        <v>130</v>
      </c>
      <c r="F42" s="23"/>
      <c r="G42" s="7"/>
      <c r="H42" s="27">
        <v>291</v>
      </c>
      <c r="I42" s="52">
        <v>115</v>
      </c>
      <c r="J42" s="23"/>
      <c r="K42" s="7"/>
      <c r="L42" s="27">
        <v>201</v>
      </c>
      <c r="M42" s="59">
        <v>60</v>
      </c>
      <c r="N42" s="27">
        <v>199</v>
      </c>
      <c r="O42" s="59">
        <v>79</v>
      </c>
      <c r="P42" s="86">
        <v>180</v>
      </c>
      <c r="Q42" s="88">
        <v>79</v>
      </c>
    </row>
    <row r="43" spans="1:17" ht="19.5" customHeight="1" thickBot="1" x14ac:dyDescent="0.2">
      <c r="A43" s="123"/>
      <c r="B43" s="107"/>
      <c r="C43" s="119"/>
      <c r="D43" s="19"/>
      <c r="E43" s="53">
        <f>E42/D42</f>
        <v>0.35040431266846361</v>
      </c>
      <c r="F43" s="102"/>
      <c r="G43" s="103"/>
      <c r="H43" s="47">
        <f>H42/D42</f>
        <v>0.78436657681940702</v>
      </c>
      <c r="I43" s="53">
        <f>I42/H42</f>
        <v>0.3951890034364261</v>
      </c>
      <c r="J43" s="102"/>
      <c r="K43" s="103"/>
      <c r="L43" s="47">
        <f>L42/H42</f>
        <v>0.69072164948453607</v>
      </c>
      <c r="M43" s="53">
        <f>M42/L42</f>
        <v>0.29850746268656714</v>
      </c>
      <c r="N43" s="47">
        <f>N42/L42</f>
        <v>0.99004975124378114</v>
      </c>
      <c r="O43" s="53">
        <f>O42/N42</f>
        <v>0.39698492462311558</v>
      </c>
      <c r="P43" s="47">
        <f>P42/N42</f>
        <v>0.90452261306532666</v>
      </c>
      <c r="Q43" s="63">
        <f>Q42/P42</f>
        <v>0.43888888888888888</v>
      </c>
    </row>
    <row r="44" spans="1:17" ht="19.5" customHeight="1" x14ac:dyDescent="0.15">
      <c r="A44" s="123"/>
      <c r="B44" s="106" t="s">
        <v>53</v>
      </c>
      <c r="C44" s="118" t="s">
        <v>21</v>
      </c>
      <c r="D44" s="26">
        <v>127</v>
      </c>
      <c r="E44" s="52">
        <v>67</v>
      </c>
      <c r="F44" s="23"/>
      <c r="G44" s="7"/>
      <c r="H44" s="27">
        <v>110</v>
      </c>
      <c r="I44" s="52">
        <v>43</v>
      </c>
      <c r="J44" s="23"/>
      <c r="K44" s="7"/>
      <c r="L44" s="27">
        <v>73</v>
      </c>
      <c r="M44" s="59">
        <v>28</v>
      </c>
      <c r="N44" s="27">
        <v>65</v>
      </c>
      <c r="O44" s="59">
        <v>27</v>
      </c>
      <c r="P44" s="86">
        <v>64</v>
      </c>
      <c r="Q44" s="88">
        <v>24</v>
      </c>
    </row>
    <row r="45" spans="1:17" ht="19.5" customHeight="1" thickBot="1" x14ac:dyDescent="0.2">
      <c r="A45" s="123"/>
      <c r="B45" s="107"/>
      <c r="C45" s="119"/>
      <c r="D45" s="19"/>
      <c r="E45" s="53">
        <f>E44/D44</f>
        <v>0.52755905511811019</v>
      </c>
      <c r="F45" s="102"/>
      <c r="G45" s="103"/>
      <c r="H45" s="47">
        <f>H44/D44</f>
        <v>0.86614173228346458</v>
      </c>
      <c r="I45" s="53">
        <f>I44/H44</f>
        <v>0.39090909090909093</v>
      </c>
      <c r="J45" s="102"/>
      <c r="K45" s="103"/>
      <c r="L45" s="47">
        <f>L44/H44</f>
        <v>0.66363636363636369</v>
      </c>
      <c r="M45" s="53">
        <f>M44/L44</f>
        <v>0.38356164383561642</v>
      </c>
      <c r="N45" s="47">
        <f>N44/L44</f>
        <v>0.8904109589041096</v>
      </c>
      <c r="O45" s="53">
        <f>O44/N44</f>
        <v>0.41538461538461541</v>
      </c>
      <c r="P45" s="47">
        <f>P44/N44</f>
        <v>0.98461538461538467</v>
      </c>
      <c r="Q45" s="63">
        <f>Q44/P44</f>
        <v>0.375</v>
      </c>
    </row>
    <row r="46" spans="1:17" ht="19.5" customHeight="1" x14ac:dyDescent="0.15">
      <c r="A46" s="123"/>
      <c r="B46" s="106" t="s">
        <v>58</v>
      </c>
      <c r="C46" s="118" t="s">
        <v>21</v>
      </c>
      <c r="D46" s="26">
        <v>121</v>
      </c>
      <c r="E46" s="52">
        <v>45</v>
      </c>
      <c r="F46" s="23"/>
      <c r="G46" s="7"/>
      <c r="H46" s="27">
        <v>123</v>
      </c>
      <c r="I46" s="52">
        <v>47</v>
      </c>
      <c r="J46" s="23"/>
      <c r="K46" s="7"/>
      <c r="L46" s="27">
        <v>59</v>
      </c>
      <c r="M46" s="59">
        <v>14</v>
      </c>
      <c r="N46" s="27">
        <v>80</v>
      </c>
      <c r="O46" s="59">
        <v>19</v>
      </c>
      <c r="P46" s="86">
        <v>71</v>
      </c>
      <c r="Q46" s="88">
        <v>21</v>
      </c>
    </row>
    <row r="47" spans="1:17" ht="19.5" customHeight="1" thickBot="1" x14ac:dyDescent="0.2">
      <c r="A47" s="123"/>
      <c r="B47" s="107"/>
      <c r="C47" s="119"/>
      <c r="D47" s="19"/>
      <c r="E47" s="53">
        <f>E46/D46</f>
        <v>0.37190082644628097</v>
      </c>
      <c r="F47" s="102"/>
      <c r="G47" s="103"/>
      <c r="H47" s="47">
        <f>H46/D46</f>
        <v>1.0165289256198347</v>
      </c>
      <c r="I47" s="53">
        <f>I46/H46</f>
        <v>0.38211382113821141</v>
      </c>
      <c r="J47" s="102"/>
      <c r="K47" s="103"/>
      <c r="L47" s="47">
        <f>L46/H46</f>
        <v>0.47967479674796748</v>
      </c>
      <c r="M47" s="53">
        <f>M46/L46</f>
        <v>0.23728813559322035</v>
      </c>
      <c r="N47" s="47">
        <f>N46/L46</f>
        <v>1.3559322033898304</v>
      </c>
      <c r="O47" s="53">
        <f>O46/N46</f>
        <v>0.23749999999999999</v>
      </c>
      <c r="P47" s="47">
        <f>P46/N46</f>
        <v>0.88749999999999996</v>
      </c>
      <c r="Q47" s="63">
        <f>Q46/P46</f>
        <v>0.29577464788732394</v>
      </c>
    </row>
    <row r="48" spans="1:17" ht="22.5" x14ac:dyDescent="0.15">
      <c r="A48" s="129" t="s">
        <v>100</v>
      </c>
      <c r="B48" s="104" t="s">
        <v>102</v>
      </c>
      <c r="C48" s="118" t="s">
        <v>38</v>
      </c>
      <c r="D48" s="23"/>
      <c r="E48" s="7"/>
      <c r="F48" s="23"/>
      <c r="G48" s="7"/>
      <c r="H48" s="26">
        <v>20</v>
      </c>
      <c r="I48" s="52">
        <v>1</v>
      </c>
      <c r="J48" s="26">
        <v>27</v>
      </c>
      <c r="K48" s="52">
        <v>2</v>
      </c>
      <c r="L48" s="27">
        <v>23</v>
      </c>
      <c r="M48" s="59">
        <v>1</v>
      </c>
      <c r="N48" s="27">
        <v>20</v>
      </c>
      <c r="O48" s="59">
        <v>1</v>
      </c>
      <c r="P48" s="86">
        <v>19</v>
      </c>
      <c r="Q48" s="88">
        <v>1</v>
      </c>
    </row>
    <row r="49" spans="1:17" ht="19.5" customHeight="1" thickBot="1" x14ac:dyDescent="0.2">
      <c r="A49" s="123"/>
      <c r="B49" s="105"/>
      <c r="C49" s="119"/>
      <c r="D49" s="100"/>
      <c r="E49" s="97"/>
      <c r="F49" s="100"/>
      <c r="G49" s="97"/>
      <c r="H49" s="19"/>
      <c r="I49" s="53">
        <f>I48/H48</f>
        <v>0.05</v>
      </c>
      <c r="J49" s="47">
        <f>J48/H48</f>
        <v>1.35</v>
      </c>
      <c r="K49" s="53">
        <f>K48/J48</f>
        <v>7.407407407407407E-2</v>
      </c>
      <c r="L49" s="47">
        <f>L48/J48</f>
        <v>0.85185185185185186</v>
      </c>
      <c r="M49" s="53">
        <f>M48/L48</f>
        <v>4.3478260869565216E-2</v>
      </c>
      <c r="N49" s="47">
        <f>N48/L48</f>
        <v>0.86956521739130432</v>
      </c>
      <c r="O49" s="53">
        <f>O48/N48</f>
        <v>0.05</v>
      </c>
      <c r="P49" s="47">
        <f>P48/N48</f>
        <v>0.95</v>
      </c>
      <c r="Q49" s="63">
        <f>Q48/P48</f>
        <v>5.2631578947368418E-2</v>
      </c>
    </row>
    <row r="50" spans="1:17" ht="19.5" customHeight="1" x14ac:dyDescent="0.15">
      <c r="A50" s="123"/>
      <c r="B50" s="104" t="s">
        <v>103</v>
      </c>
      <c r="C50" s="118" t="s">
        <v>38</v>
      </c>
      <c r="D50" s="23"/>
      <c r="E50" s="7"/>
      <c r="F50" s="23"/>
      <c r="G50" s="7"/>
      <c r="H50" s="26">
        <v>48</v>
      </c>
      <c r="I50" s="52">
        <v>4</v>
      </c>
      <c r="J50" s="27">
        <v>68</v>
      </c>
      <c r="K50" s="52">
        <v>5</v>
      </c>
      <c r="L50" s="27">
        <v>73</v>
      </c>
      <c r="M50" s="59">
        <v>4</v>
      </c>
      <c r="N50" s="27">
        <v>64</v>
      </c>
      <c r="O50" s="59">
        <v>4</v>
      </c>
      <c r="P50" s="86">
        <v>67</v>
      </c>
      <c r="Q50" s="88">
        <v>5</v>
      </c>
    </row>
    <row r="51" spans="1:17" ht="19.5" customHeight="1" thickBot="1" x14ac:dyDescent="0.2">
      <c r="A51" s="123"/>
      <c r="B51" s="105"/>
      <c r="C51" s="119"/>
      <c r="D51" s="100"/>
      <c r="E51" s="97"/>
      <c r="F51" s="100"/>
      <c r="G51" s="97"/>
      <c r="H51" s="19"/>
      <c r="I51" s="53">
        <f>I50/H50</f>
        <v>8.3333333333333329E-2</v>
      </c>
      <c r="J51" s="47">
        <f>J50/H50</f>
        <v>1.4166666666666667</v>
      </c>
      <c r="K51" s="53">
        <f>K50/J50</f>
        <v>7.3529411764705885E-2</v>
      </c>
      <c r="L51" s="47">
        <f>L50/J50</f>
        <v>1.0735294117647058</v>
      </c>
      <c r="M51" s="53">
        <f>M50/L50</f>
        <v>5.4794520547945202E-2</v>
      </c>
      <c r="N51" s="47">
        <f>N50/L50</f>
        <v>0.87671232876712324</v>
      </c>
      <c r="O51" s="53">
        <f>O50/N50</f>
        <v>6.25E-2</v>
      </c>
      <c r="P51" s="47">
        <f>P50/N50</f>
        <v>1.046875</v>
      </c>
      <c r="Q51" s="63">
        <f>Q50/P50</f>
        <v>7.4626865671641784E-2</v>
      </c>
    </row>
    <row r="52" spans="1:17" ht="19.5" customHeight="1" x14ac:dyDescent="0.15">
      <c r="A52" s="123"/>
      <c r="B52" s="104" t="s">
        <v>104</v>
      </c>
      <c r="C52" s="118" t="s">
        <v>38</v>
      </c>
      <c r="D52" s="23"/>
      <c r="E52" s="7"/>
      <c r="F52" s="23"/>
      <c r="G52" s="7"/>
      <c r="H52" s="26">
        <v>77</v>
      </c>
      <c r="I52" s="52">
        <v>5</v>
      </c>
      <c r="J52" s="27">
        <v>120</v>
      </c>
      <c r="K52" s="52">
        <v>5</v>
      </c>
      <c r="L52" s="27">
        <v>131</v>
      </c>
      <c r="M52" s="59">
        <v>5</v>
      </c>
      <c r="N52" s="27">
        <v>144</v>
      </c>
      <c r="O52" s="59">
        <v>7</v>
      </c>
      <c r="P52" s="86">
        <v>160</v>
      </c>
      <c r="Q52" s="88">
        <v>9</v>
      </c>
    </row>
    <row r="53" spans="1:17" ht="19.5" customHeight="1" thickBot="1" x14ac:dyDescent="0.2">
      <c r="A53" s="123"/>
      <c r="B53" s="105"/>
      <c r="C53" s="119"/>
      <c r="D53" s="100"/>
      <c r="E53" s="97"/>
      <c r="F53" s="100"/>
      <c r="G53" s="97"/>
      <c r="H53" s="19"/>
      <c r="I53" s="53">
        <f>I52/H52</f>
        <v>6.4935064935064929E-2</v>
      </c>
      <c r="J53" s="47">
        <f>J52/H52</f>
        <v>1.5584415584415585</v>
      </c>
      <c r="K53" s="53">
        <f>K52/J52</f>
        <v>4.1666666666666664E-2</v>
      </c>
      <c r="L53" s="47">
        <f>L52/J52</f>
        <v>1.0916666666666666</v>
      </c>
      <c r="M53" s="53">
        <f>M52/L52</f>
        <v>3.8167938931297711E-2</v>
      </c>
      <c r="N53" s="47">
        <f>N52/L52</f>
        <v>1.0992366412213741</v>
      </c>
      <c r="O53" s="53">
        <f>O52/N52</f>
        <v>4.8611111111111112E-2</v>
      </c>
      <c r="P53" s="47">
        <f>P52/N52</f>
        <v>1.1111111111111112</v>
      </c>
      <c r="Q53" s="63">
        <f>Q52/P52</f>
        <v>5.6250000000000001E-2</v>
      </c>
    </row>
    <row r="54" spans="1:17" ht="19.5" customHeight="1" x14ac:dyDescent="0.15">
      <c r="A54" s="123"/>
      <c r="B54" s="104" t="s">
        <v>35</v>
      </c>
      <c r="C54" s="118" t="s">
        <v>21</v>
      </c>
      <c r="D54" s="23"/>
      <c r="E54" s="7"/>
      <c r="F54" s="23"/>
      <c r="G54" s="7"/>
      <c r="H54" s="26">
        <v>71</v>
      </c>
      <c r="I54" s="52">
        <v>19</v>
      </c>
      <c r="J54" s="27">
        <v>71</v>
      </c>
      <c r="K54" s="52">
        <v>10</v>
      </c>
      <c r="L54" s="27">
        <v>77</v>
      </c>
      <c r="M54" s="59">
        <v>8</v>
      </c>
      <c r="N54" s="27">
        <v>56</v>
      </c>
      <c r="O54" s="59">
        <v>14</v>
      </c>
      <c r="P54" s="86">
        <v>43</v>
      </c>
      <c r="Q54" s="88">
        <v>15</v>
      </c>
    </row>
    <row r="55" spans="1:17" ht="19.5" customHeight="1" thickBot="1" x14ac:dyDescent="0.2">
      <c r="A55" s="123"/>
      <c r="B55" s="105"/>
      <c r="C55" s="119"/>
      <c r="D55" s="100"/>
      <c r="E55" s="97"/>
      <c r="F55" s="100"/>
      <c r="G55" s="97"/>
      <c r="H55" s="19"/>
      <c r="I55" s="53">
        <f>I54/H54</f>
        <v>0.26760563380281688</v>
      </c>
      <c r="J55" s="47">
        <f>J54/H54</f>
        <v>1</v>
      </c>
      <c r="K55" s="53">
        <f>K54/J54</f>
        <v>0.14084507042253522</v>
      </c>
      <c r="L55" s="47">
        <f>L54/J54</f>
        <v>1.0845070422535212</v>
      </c>
      <c r="M55" s="53">
        <f>M54/L54</f>
        <v>0.1038961038961039</v>
      </c>
      <c r="N55" s="47">
        <f>N54/L54</f>
        <v>0.72727272727272729</v>
      </c>
      <c r="O55" s="53">
        <f>O54/N54</f>
        <v>0.25</v>
      </c>
      <c r="P55" s="47">
        <f>P54/N54</f>
        <v>0.7678571428571429</v>
      </c>
      <c r="Q55" s="63">
        <f>Q54/P54</f>
        <v>0.34883720930232559</v>
      </c>
    </row>
    <row r="56" spans="1:17" ht="19.5" customHeight="1" x14ac:dyDescent="0.15">
      <c r="A56" s="123"/>
      <c r="B56" s="104" t="s">
        <v>53</v>
      </c>
      <c r="C56" s="118" t="s">
        <v>21</v>
      </c>
      <c r="D56" s="23"/>
      <c r="E56" s="7"/>
      <c r="F56" s="23"/>
      <c r="G56" s="7"/>
      <c r="H56" s="26">
        <v>19</v>
      </c>
      <c r="I56" s="52">
        <v>6</v>
      </c>
      <c r="J56" s="27">
        <v>12</v>
      </c>
      <c r="K56" s="52">
        <v>1</v>
      </c>
      <c r="L56" s="27">
        <v>11</v>
      </c>
      <c r="M56" s="59">
        <v>2</v>
      </c>
      <c r="N56" s="27">
        <v>12</v>
      </c>
      <c r="O56" s="59">
        <v>4</v>
      </c>
      <c r="P56" s="86">
        <v>20</v>
      </c>
      <c r="Q56" s="88">
        <v>7</v>
      </c>
    </row>
    <row r="57" spans="1:17" ht="19.5" customHeight="1" thickBot="1" x14ac:dyDescent="0.2">
      <c r="A57" s="123"/>
      <c r="B57" s="105"/>
      <c r="C57" s="119"/>
      <c r="D57" s="100"/>
      <c r="E57" s="97"/>
      <c r="F57" s="100"/>
      <c r="G57" s="97"/>
      <c r="H57" s="19"/>
      <c r="I57" s="53">
        <f>I56/H56</f>
        <v>0.31578947368421051</v>
      </c>
      <c r="J57" s="47">
        <f>J56/H56</f>
        <v>0.63157894736842102</v>
      </c>
      <c r="K57" s="53">
        <f>K56/J56</f>
        <v>8.3333333333333329E-2</v>
      </c>
      <c r="L57" s="47">
        <f>L56/J56</f>
        <v>0.91666666666666663</v>
      </c>
      <c r="M57" s="53">
        <f>M56/L56</f>
        <v>0.18181818181818182</v>
      </c>
      <c r="N57" s="47">
        <f>N56/L56</f>
        <v>1.0909090909090908</v>
      </c>
      <c r="O57" s="53">
        <f>O56/N56</f>
        <v>0.33333333333333331</v>
      </c>
      <c r="P57" s="47">
        <f>P56/N56</f>
        <v>1.6666666666666667</v>
      </c>
      <c r="Q57" s="63">
        <f>Q56/P56</f>
        <v>0.35</v>
      </c>
    </row>
    <row r="58" spans="1:17" ht="18.75" customHeight="1" x14ac:dyDescent="0.15">
      <c r="A58" s="123"/>
      <c r="B58" s="104" t="s">
        <v>54</v>
      </c>
      <c r="C58" s="118" t="s">
        <v>21</v>
      </c>
      <c r="D58" s="23"/>
      <c r="E58" s="7"/>
      <c r="F58" s="23"/>
      <c r="G58" s="7"/>
      <c r="H58" s="26">
        <v>87</v>
      </c>
      <c r="I58" s="52">
        <v>13</v>
      </c>
      <c r="J58" s="27">
        <v>91</v>
      </c>
      <c r="K58" s="52">
        <v>2</v>
      </c>
      <c r="L58" s="27">
        <v>83</v>
      </c>
      <c r="M58" s="59">
        <v>5</v>
      </c>
      <c r="N58" s="27">
        <v>53</v>
      </c>
      <c r="O58" s="59">
        <v>8</v>
      </c>
      <c r="P58" s="86">
        <v>52</v>
      </c>
      <c r="Q58" s="88">
        <v>8</v>
      </c>
    </row>
    <row r="59" spans="1:17" ht="19.5" thickBot="1" x14ac:dyDescent="0.2">
      <c r="A59" s="124"/>
      <c r="B59" s="105"/>
      <c r="C59" s="119"/>
      <c r="D59" s="100"/>
      <c r="E59" s="97"/>
      <c r="F59" s="100"/>
      <c r="G59" s="97"/>
      <c r="H59" s="19"/>
      <c r="I59" s="53">
        <f>I58/H58</f>
        <v>0.14942528735632185</v>
      </c>
      <c r="J59" s="47">
        <f>J58/H58</f>
        <v>1.0459770114942528</v>
      </c>
      <c r="K59" s="53">
        <f>K58/J58</f>
        <v>2.197802197802198E-2</v>
      </c>
      <c r="L59" s="47">
        <f>L58/J58</f>
        <v>0.91208791208791207</v>
      </c>
      <c r="M59" s="53">
        <f>M58/L58</f>
        <v>6.0240963855421686E-2</v>
      </c>
      <c r="N59" s="47">
        <f>N58/L58</f>
        <v>0.63855421686746983</v>
      </c>
      <c r="O59" s="53">
        <f>O58/N58</f>
        <v>0.15094339622641509</v>
      </c>
      <c r="P59" s="47">
        <f>P58/N58</f>
        <v>0.98113207547169812</v>
      </c>
      <c r="Q59" s="63">
        <f>Q58/P58</f>
        <v>0.15384615384615385</v>
      </c>
    </row>
    <row r="60" spans="1:17" ht="22.5" x14ac:dyDescent="0.15">
      <c r="A60" s="129" t="s">
        <v>105</v>
      </c>
      <c r="B60" s="104" t="s">
        <v>101</v>
      </c>
      <c r="C60" s="118" t="s">
        <v>38</v>
      </c>
      <c r="D60" s="11"/>
      <c r="E60" s="87"/>
      <c r="F60" s="11"/>
      <c r="G60" s="87"/>
      <c r="H60" s="26">
        <v>575</v>
      </c>
      <c r="I60" s="52">
        <v>91</v>
      </c>
      <c r="J60" s="27">
        <v>554</v>
      </c>
      <c r="K60" s="52">
        <v>82</v>
      </c>
      <c r="L60" s="11"/>
      <c r="M60" s="87"/>
      <c r="N60" s="27">
        <v>569</v>
      </c>
      <c r="O60" s="59">
        <v>107</v>
      </c>
      <c r="P60" s="27">
        <v>585</v>
      </c>
      <c r="Q60" s="59">
        <v>131</v>
      </c>
    </row>
    <row r="61" spans="1:17" ht="19.5" thickBot="1" x14ac:dyDescent="0.2">
      <c r="A61" s="124"/>
      <c r="B61" s="105"/>
      <c r="C61" s="119"/>
      <c r="D61" s="11"/>
      <c r="E61" s="87"/>
      <c r="F61" s="11"/>
      <c r="G61" s="87"/>
      <c r="H61" s="19"/>
      <c r="I61" s="53">
        <f>I60/H60</f>
        <v>0.1582608695652174</v>
      </c>
      <c r="J61" s="47">
        <f>J60/H60</f>
        <v>0.96347826086956523</v>
      </c>
      <c r="K61" s="53">
        <f>K60/J60</f>
        <v>0.14801444043321299</v>
      </c>
      <c r="L61" s="11"/>
      <c r="M61" s="87"/>
      <c r="N61" s="47">
        <f>N60/J60</f>
        <v>1.0270758122743682</v>
      </c>
      <c r="O61" s="53">
        <f>O60/N60</f>
        <v>0.18804920913884007</v>
      </c>
      <c r="P61" s="47">
        <f>P60/N60</f>
        <v>1.0281195079086116</v>
      </c>
      <c r="Q61" s="63">
        <f>Q60/P60</f>
        <v>0.22393162393162394</v>
      </c>
    </row>
    <row r="62" spans="1:17" ht="22.5" x14ac:dyDescent="0.15">
      <c r="A62" s="106" t="s">
        <v>107</v>
      </c>
      <c r="B62" s="108" t="s">
        <v>108</v>
      </c>
      <c r="C62" s="118" t="s">
        <v>38</v>
      </c>
      <c r="D62" s="11"/>
      <c r="E62" s="87"/>
      <c r="F62" s="11"/>
      <c r="G62" s="87"/>
      <c r="H62" s="26">
        <v>156</v>
      </c>
      <c r="I62" s="52">
        <v>7</v>
      </c>
      <c r="J62" s="27">
        <v>128</v>
      </c>
      <c r="K62" s="52">
        <v>5</v>
      </c>
      <c r="L62" s="26">
        <v>128</v>
      </c>
      <c r="M62" s="52">
        <v>1</v>
      </c>
      <c r="N62" s="26">
        <v>117</v>
      </c>
      <c r="O62" s="52">
        <v>2</v>
      </c>
      <c r="P62" s="28">
        <v>123</v>
      </c>
      <c r="Q62" s="62">
        <v>0</v>
      </c>
    </row>
    <row r="63" spans="1:17" ht="19.5" thickBot="1" x14ac:dyDescent="0.2">
      <c r="A63" s="107"/>
      <c r="B63" s="107"/>
      <c r="C63" s="119"/>
      <c r="D63" s="11"/>
      <c r="E63" s="87"/>
      <c r="F63" s="11"/>
      <c r="G63" s="87"/>
      <c r="H63" s="19"/>
      <c r="I63" s="53">
        <f>I62/H62</f>
        <v>4.4871794871794872E-2</v>
      </c>
      <c r="J63" s="47">
        <f>J62/H62</f>
        <v>0.82051282051282048</v>
      </c>
      <c r="K63" s="53">
        <f>K62/J62</f>
        <v>3.90625E-2</v>
      </c>
      <c r="L63" s="47">
        <f>L62/J62</f>
        <v>1</v>
      </c>
      <c r="M63" s="53">
        <f>M62/L62</f>
        <v>7.8125E-3</v>
      </c>
      <c r="N63" s="47">
        <f>N62/L62</f>
        <v>0.9140625</v>
      </c>
      <c r="O63" s="53">
        <f>O62/N62</f>
        <v>1.7094017094017096E-2</v>
      </c>
      <c r="P63" s="47">
        <f>P62/N62</f>
        <v>1.0512820512820513</v>
      </c>
      <c r="Q63" s="63">
        <f>Q62/P62</f>
        <v>0</v>
      </c>
    </row>
    <row r="64" spans="1:17" ht="22.5" x14ac:dyDescent="0.15">
      <c r="A64" s="98" t="s">
        <v>80</v>
      </c>
      <c r="B64" s="108" t="s">
        <v>101</v>
      </c>
      <c r="C64" s="118" t="s">
        <v>38</v>
      </c>
      <c r="D64" s="26">
        <v>122</v>
      </c>
      <c r="E64" s="52">
        <v>0</v>
      </c>
      <c r="F64" s="27">
        <v>122</v>
      </c>
      <c r="G64" s="59">
        <v>0</v>
      </c>
      <c r="H64" s="27">
        <v>146</v>
      </c>
      <c r="I64" s="59">
        <v>0</v>
      </c>
      <c r="J64" s="27">
        <v>142</v>
      </c>
      <c r="K64" s="59">
        <v>0</v>
      </c>
      <c r="L64" s="27">
        <v>141</v>
      </c>
      <c r="M64" s="59">
        <v>0</v>
      </c>
      <c r="N64" s="27">
        <v>121</v>
      </c>
      <c r="O64" s="59">
        <v>0</v>
      </c>
      <c r="P64" s="86">
        <v>115</v>
      </c>
      <c r="Q64" s="88">
        <v>0</v>
      </c>
    </row>
    <row r="65" spans="1:17" ht="19.5" thickBot="1" x14ac:dyDescent="0.2">
      <c r="A65" s="144"/>
      <c r="B65" s="107"/>
      <c r="C65" s="119"/>
      <c r="D65" s="19"/>
      <c r="E65" s="53">
        <f>E64/D64</f>
        <v>0</v>
      </c>
      <c r="F65" s="47">
        <f>F64/D64</f>
        <v>1</v>
      </c>
      <c r="G65" s="53">
        <f>G64/F64</f>
        <v>0</v>
      </c>
      <c r="H65" s="47">
        <f>H64/F64</f>
        <v>1.1967213114754098</v>
      </c>
      <c r="I65" s="53">
        <f>I64/H64</f>
        <v>0</v>
      </c>
      <c r="J65" s="47">
        <f>J64/H64</f>
        <v>0.9726027397260274</v>
      </c>
      <c r="K65" s="53">
        <f>K64/J64</f>
        <v>0</v>
      </c>
      <c r="L65" s="47">
        <f>L64/J64</f>
        <v>0.99295774647887325</v>
      </c>
      <c r="M65" s="53">
        <f>M64/L64</f>
        <v>0</v>
      </c>
      <c r="N65" s="47">
        <f>N64/L64</f>
        <v>0.85815602836879434</v>
      </c>
      <c r="O65" s="53">
        <f>O64/N64</f>
        <v>0</v>
      </c>
      <c r="P65" s="47">
        <f>P64/N64</f>
        <v>0.95041322314049592</v>
      </c>
      <c r="Q65" s="53">
        <f>Q64/P64</f>
        <v>0</v>
      </c>
    </row>
    <row r="66" spans="1:17" ht="22.5" x14ac:dyDescent="0.15">
      <c r="A66" s="144"/>
      <c r="B66" s="108" t="s">
        <v>99</v>
      </c>
      <c r="C66" s="118" t="s">
        <v>21</v>
      </c>
      <c r="D66" s="26">
        <v>144</v>
      </c>
      <c r="E66" s="52">
        <v>0</v>
      </c>
      <c r="F66" s="27">
        <v>174</v>
      </c>
      <c r="G66" s="59">
        <v>0</v>
      </c>
      <c r="H66" s="27">
        <v>222</v>
      </c>
      <c r="I66" s="59">
        <v>0</v>
      </c>
      <c r="J66" s="27">
        <v>209</v>
      </c>
      <c r="K66" s="59">
        <v>0</v>
      </c>
      <c r="L66" s="27">
        <v>199</v>
      </c>
      <c r="M66" s="59">
        <v>0</v>
      </c>
      <c r="N66" s="27">
        <v>213</v>
      </c>
      <c r="O66" s="59">
        <v>0</v>
      </c>
      <c r="P66" s="86">
        <v>211</v>
      </c>
      <c r="Q66" s="88">
        <v>0</v>
      </c>
    </row>
    <row r="67" spans="1:17" ht="19.5" thickBot="1" x14ac:dyDescent="0.2">
      <c r="A67" s="99"/>
      <c r="B67" s="107"/>
      <c r="C67" s="119"/>
      <c r="D67" s="19"/>
      <c r="E67" s="53">
        <f>E66/D66</f>
        <v>0</v>
      </c>
      <c r="F67" s="47">
        <f>F66/D66</f>
        <v>1.2083333333333333</v>
      </c>
      <c r="G67" s="53">
        <f>G66/F66</f>
        <v>0</v>
      </c>
      <c r="H67" s="47">
        <f>H66/F66</f>
        <v>1.2758620689655173</v>
      </c>
      <c r="I67" s="53">
        <f>I66/H66</f>
        <v>0</v>
      </c>
      <c r="J67" s="47">
        <f>J66/H66</f>
        <v>0.94144144144144148</v>
      </c>
      <c r="K67" s="53">
        <f>K66/J66</f>
        <v>0</v>
      </c>
      <c r="L67" s="47">
        <f>L66/J66</f>
        <v>0.95215311004784686</v>
      </c>
      <c r="M67" s="53">
        <f>M66/L66</f>
        <v>0</v>
      </c>
      <c r="N67" s="47">
        <f>N66/L66</f>
        <v>1.0703517587939699</v>
      </c>
      <c r="O67" s="53">
        <f>O66/N66</f>
        <v>0</v>
      </c>
      <c r="P67" s="47">
        <f>P66/N66</f>
        <v>0.99061032863849763</v>
      </c>
      <c r="Q67" s="53">
        <f>Q66/P66</f>
        <v>0</v>
      </c>
    </row>
    <row r="68" spans="1:17" ht="18.75" customHeight="1" x14ac:dyDescent="0.15">
      <c r="A68" s="120" t="s">
        <v>190</v>
      </c>
      <c r="B68" s="104" t="s">
        <v>35</v>
      </c>
      <c r="C68" s="118" t="s">
        <v>21</v>
      </c>
      <c r="D68" s="23"/>
      <c r="E68" s="7"/>
      <c r="F68" s="23"/>
      <c r="G68" s="7"/>
      <c r="H68" s="26">
        <v>74</v>
      </c>
      <c r="I68" s="52">
        <v>1</v>
      </c>
      <c r="J68" s="27">
        <v>89</v>
      </c>
      <c r="K68" s="52">
        <v>1</v>
      </c>
      <c r="L68" s="27">
        <v>90</v>
      </c>
      <c r="M68" s="59">
        <v>1</v>
      </c>
      <c r="N68" s="27">
        <v>86</v>
      </c>
      <c r="O68" s="59">
        <v>1</v>
      </c>
      <c r="P68" s="86">
        <v>82</v>
      </c>
      <c r="Q68" s="88">
        <v>1</v>
      </c>
    </row>
    <row r="69" spans="1:17" ht="19.5" customHeight="1" thickBot="1" x14ac:dyDescent="0.2">
      <c r="A69" s="123"/>
      <c r="B69" s="105"/>
      <c r="C69" s="119"/>
      <c r="D69" s="100"/>
      <c r="E69" s="97"/>
      <c r="F69" s="100"/>
      <c r="G69" s="97"/>
      <c r="H69" s="19"/>
      <c r="I69" s="53">
        <f>I68/H68</f>
        <v>1.3513513513513514E-2</v>
      </c>
      <c r="J69" s="47">
        <f>J68/H68</f>
        <v>1.2027027027027026</v>
      </c>
      <c r="K69" s="53">
        <f>K68/J68</f>
        <v>1.1235955056179775E-2</v>
      </c>
      <c r="L69" s="47">
        <f>L68/J68</f>
        <v>1.0112359550561798</v>
      </c>
      <c r="M69" s="53">
        <f>M68/L68</f>
        <v>1.1111111111111112E-2</v>
      </c>
      <c r="N69" s="47">
        <f>N68/L68</f>
        <v>0.9555555555555556</v>
      </c>
      <c r="O69" s="53">
        <f>O68/N68</f>
        <v>1.1627906976744186E-2</v>
      </c>
      <c r="P69" s="47">
        <f>P68/N68</f>
        <v>0.95348837209302328</v>
      </c>
      <c r="Q69" s="63">
        <f>Q68/P68</f>
        <v>1.2195121951219513E-2</v>
      </c>
    </row>
    <row r="70" spans="1:17" ht="18.75" customHeight="1" x14ac:dyDescent="0.15">
      <c r="A70" s="123"/>
      <c r="B70" s="104" t="s">
        <v>54</v>
      </c>
      <c r="C70" s="118" t="s">
        <v>21</v>
      </c>
      <c r="D70" s="23"/>
      <c r="E70" s="7"/>
      <c r="F70" s="23"/>
      <c r="G70" s="7"/>
      <c r="H70" s="26">
        <v>82</v>
      </c>
      <c r="I70" s="52">
        <v>2</v>
      </c>
      <c r="J70" s="27">
        <v>73</v>
      </c>
      <c r="K70" s="52">
        <v>1</v>
      </c>
      <c r="L70" s="27">
        <v>60</v>
      </c>
      <c r="M70" s="59">
        <v>0</v>
      </c>
      <c r="N70" s="27">
        <v>80</v>
      </c>
      <c r="O70" s="59">
        <v>1</v>
      </c>
      <c r="P70" s="86">
        <v>69</v>
      </c>
      <c r="Q70" s="88">
        <v>1</v>
      </c>
    </row>
    <row r="71" spans="1:17" ht="19.5" thickBot="1" x14ac:dyDescent="0.2">
      <c r="A71" s="123"/>
      <c r="B71" s="105"/>
      <c r="C71" s="119"/>
      <c r="D71" s="100"/>
      <c r="E71" s="97"/>
      <c r="F71" s="100"/>
      <c r="G71" s="97"/>
      <c r="H71" s="19"/>
      <c r="I71" s="53">
        <f>I70/H70</f>
        <v>2.4390243902439025E-2</v>
      </c>
      <c r="J71" s="47">
        <f>J70/H70</f>
        <v>0.8902439024390244</v>
      </c>
      <c r="K71" s="53">
        <f>K70/J70</f>
        <v>1.3698630136986301E-2</v>
      </c>
      <c r="L71" s="47">
        <f>L70/J70</f>
        <v>0.82191780821917804</v>
      </c>
      <c r="M71" s="53">
        <f>M70/L70</f>
        <v>0</v>
      </c>
      <c r="N71" s="47">
        <f>N70/L70</f>
        <v>1.3333333333333333</v>
      </c>
      <c r="O71" s="53">
        <f>O70/N70</f>
        <v>1.2500000000000001E-2</v>
      </c>
      <c r="P71" s="47">
        <f>P70/N70</f>
        <v>0.86250000000000004</v>
      </c>
      <c r="Q71" s="63">
        <f>Q70/P70</f>
        <v>1.4492753623188406E-2</v>
      </c>
    </row>
    <row r="72" spans="1:17" ht="18.75" customHeight="1" x14ac:dyDescent="0.15">
      <c r="A72" s="123"/>
      <c r="B72" s="104" t="s">
        <v>53</v>
      </c>
      <c r="C72" s="118" t="s">
        <v>21</v>
      </c>
      <c r="D72" s="23"/>
      <c r="E72" s="7"/>
      <c r="F72" s="23"/>
      <c r="G72" s="7"/>
      <c r="H72" s="26">
        <v>32</v>
      </c>
      <c r="I72" s="52">
        <v>1</v>
      </c>
      <c r="J72" s="27">
        <v>26</v>
      </c>
      <c r="K72" s="52">
        <v>1</v>
      </c>
      <c r="L72" s="27">
        <v>19</v>
      </c>
      <c r="M72" s="59">
        <v>1</v>
      </c>
      <c r="N72" s="27">
        <v>26</v>
      </c>
      <c r="O72" s="59">
        <v>0</v>
      </c>
      <c r="P72" s="86">
        <v>41</v>
      </c>
      <c r="Q72" s="88">
        <v>3</v>
      </c>
    </row>
    <row r="73" spans="1:17" ht="19.5" thickBot="1" x14ac:dyDescent="0.2">
      <c r="A73" s="124"/>
      <c r="B73" s="105"/>
      <c r="C73" s="119"/>
      <c r="D73" s="100"/>
      <c r="E73" s="97"/>
      <c r="F73" s="100"/>
      <c r="G73" s="97"/>
      <c r="H73" s="19"/>
      <c r="I73" s="53">
        <f>I72/H72</f>
        <v>3.125E-2</v>
      </c>
      <c r="J73" s="47">
        <f>J72/H72</f>
        <v>0.8125</v>
      </c>
      <c r="K73" s="53">
        <f>K72/J72</f>
        <v>3.8461538461538464E-2</v>
      </c>
      <c r="L73" s="47">
        <f>L72/J72</f>
        <v>0.73076923076923073</v>
      </c>
      <c r="M73" s="53">
        <f>M72/L72</f>
        <v>5.2631578947368418E-2</v>
      </c>
      <c r="N73" s="47">
        <f>N72/L72</f>
        <v>1.368421052631579</v>
      </c>
      <c r="O73" s="53">
        <f>O72/N72</f>
        <v>0</v>
      </c>
      <c r="P73" s="47">
        <f>P72/N72</f>
        <v>1.5769230769230769</v>
      </c>
      <c r="Q73" s="63">
        <f>Q72/P72</f>
        <v>7.3170731707317069E-2</v>
      </c>
    </row>
    <row r="76" spans="1:17" ht="19.5" customHeight="1" x14ac:dyDescent="0.15"/>
    <row r="86" ht="19.5" customHeight="1" x14ac:dyDescent="0.15"/>
    <row r="90" ht="19.5" customHeight="1" x14ac:dyDescent="0.15"/>
    <row r="100" ht="19.5" customHeight="1" x14ac:dyDescent="0.15"/>
    <row r="104" ht="18.75" customHeight="1" x14ac:dyDescent="0.15"/>
    <row r="106" ht="18.75" customHeight="1" x14ac:dyDescent="0.15"/>
    <row r="108" ht="18.75" customHeight="1" x14ac:dyDescent="0.15"/>
    <row r="112" ht="18.75" customHeight="1" x14ac:dyDescent="0.15"/>
    <row r="114" ht="18.75" customHeight="1" x14ac:dyDescent="0.15"/>
    <row r="116" ht="18.75" customHeight="1" x14ac:dyDescent="0.15"/>
    <row r="118" ht="18.75" customHeight="1" x14ac:dyDescent="0.15"/>
    <row r="120" ht="18.75" customHeight="1" x14ac:dyDescent="0.15"/>
  </sheetData>
  <mergeCells count="141">
    <mergeCell ref="A64:A67"/>
    <mergeCell ref="A6:A7"/>
    <mergeCell ref="B6:B7"/>
    <mergeCell ref="C6:C7"/>
    <mergeCell ref="D3:E3"/>
    <mergeCell ref="F3:G3"/>
    <mergeCell ref="H3:I3"/>
    <mergeCell ref="A28:A39"/>
    <mergeCell ref="B28:B29"/>
    <mergeCell ref="C28:C29"/>
    <mergeCell ref="D29:E29"/>
    <mergeCell ref="F29:G29"/>
    <mergeCell ref="B26:B27"/>
    <mergeCell ref="C26:C27"/>
    <mergeCell ref="D27:E27"/>
    <mergeCell ref="F27:G27"/>
    <mergeCell ref="B36:B37"/>
    <mergeCell ref="C36:C37"/>
    <mergeCell ref="D37:E37"/>
    <mergeCell ref="F37:G37"/>
    <mergeCell ref="A14:A27"/>
    <mergeCell ref="B14:B15"/>
    <mergeCell ref="C14:C15"/>
    <mergeCell ref="D15:E15"/>
    <mergeCell ref="J3:K3"/>
    <mergeCell ref="L3:M3"/>
    <mergeCell ref="N3:O3"/>
    <mergeCell ref="A12:A13"/>
    <mergeCell ref="B12:B13"/>
    <mergeCell ref="C12:C13"/>
    <mergeCell ref="D13:E13"/>
    <mergeCell ref="F13:G13"/>
    <mergeCell ref="A10:A11"/>
    <mergeCell ref="B10:B11"/>
    <mergeCell ref="C10:C11"/>
    <mergeCell ref="A8:A9"/>
    <mergeCell ref="B8:B9"/>
    <mergeCell ref="C8:C9"/>
    <mergeCell ref="F15:G15"/>
    <mergeCell ref="B16:B17"/>
    <mergeCell ref="C16:C17"/>
    <mergeCell ref="D17:E17"/>
    <mergeCell ref="F17:G17"/>
    <mergeCell ref="D25:E25"/>
    <mergeCell ref="F25:G25"/>
    <mergeCell ref="B20:B21"/>
    <mergeCell ref="C20:C21"/>
    <mergeCell ref="D21:E21"/>
    <mergeCell ref="F21:G21"/>
    <mergeCell ref="B18:B19"/>
    <mergeCell ref="C18:C19"/>
    <mergeCell ref="D19:E19"/>
    <mergeCell ref="F19:G19"/>
    <mergeCell ref="B22:B23"/>
    <mergeCell ref="C22:C23"/>
    <mergeCell ref="D23:E23"/>
    <mergeCell ref="F23:G23"/>
    <mergeCell ref="B24:B25"/>
    <mergeCell ref="C24:C25"/>
    <mergeCell ref="D49:E49"/>
    <mergeCell ref="F49:G49"/>
    <mergeCell ref="B30:B31"/>
    <mergeCell ref="B34:B35"/>
    <mergeCell ref="C34:C35"/>
    <mergeCell ref="D35:E35"/>
    <mergeCell ref="F35:G35"/>
    <mergeCell ref="B42:B43"/>
    <mergeCell ref="B38:B39"/>
    <mergeCell ref="C38:C39"/>
    <mergeCell ref="D39:E39"/>
    <mergeCell ref="F39:G39"/>
    <mergeCell ref="B40:B41"/>
    <mergeCell ref="C40:C41"/>
    <mergeCell ref="F41:G41"/>
    <mergeCell ref="B32:B33"/>
    <mergeCell ref="C32:C33"/>
    <mergeCell ref="D33:E33"/>
    <mergeCell ref="F33:G33"/>
    <mergeCell ref="C30:C31"/>
    <mergeCell ref="D31:E31"/>
    <mergeCell ref="F31:G31"/>
    <mergeCell ref="J45:K45"/>
    <mergeCell ref="B46:B47"/>
    <mergeCell ref="C46:C47"/>
    <mergeCell ref="F47:G47"/>
    <mergeCell ref="J47:K47"/>
    <mergeCell ref="A48:A59"/>
    <mergeCell ref="A40:A47"/>
    <mergeCell ref="B44:B45"/>
    <mergeCell ref="C44:C45"/>
    <mergeCell ref="F45:G45"/>
    <mergeCell ref="C42:C43"/>
    <mergeCell ref="F43:G43"/>
    <mergeCell ref="J43:K43"/>
    <mergeCell ref="F57:G57"/>
    <mergeCell ref="B58:B59"/>
    <mergeCell ref="C58:C59"/>
    <mergeCell ref="D59:E59"/>
    <mergeCell ref="F59:G59"/>
    <mergeCell ref="B50:B51"/>
    <mergeCell ref="C50:C51"/>
    <mergeCell ref="D51:E51"/>
    <mergeCell ref="F51:G51"/>
    <mergeCell ref="B48:B49"/>
    <mergeCell ref="C48:C49"/>
    <mergeCell ref="C54:C55"/>
    <mergeCell ref="D55:E55"/>
    <mergeCell ref="F55:G55"/>
    <mergeCell ref="C52:C53"/>
    <mergeCell ref="D53:E53"/>
    <mergeCell ref="F53:G53"/>
    <mergeCell ref="D73:E73"/>
    <mergeCell ref="F73:G73"/>
    <mergeCell ref="B66:B67"/>
    <mergeCell ref="C66:C67"/>
    <mergeCell ref="B64:B65"/>
    <mergeCell ref="C64:C65"/>
    <mergeCell ref="P3:Q3"/>
    <mergeCell ref="A68:A73"/>
    <mergeCell ref="B68:B69"/>
    <mergeCell ref="C68:C69"/>
    <mergeCell ref="D69:E69"/>
    <mergeCell ref="F69:G69"/>
    <mergeCell ref="B70:B71"/>
    <mergeCell ref="C70:C71"/>
    <mergeCell ref="D71:E71"/>
    <mergeCell ref="F71:G71"/>
    <mergeCell ref="B72:B73"/>
    <mergeCell ref="C72:C73"/>
    <mergeCell ref="J41:K41"/>
    <mergeCell ref="A62:A63"/>
    <mergeCell ref="B62:B63"/>
    <mergeCell ref="C62:C63"/>
    <mergeCell ref="A60:A61"/>
    <mergeCell ref="B60:B61"/>
    <mergeCell ref="C60:C61"/>
    <mergeCell ref="B56:B57"/>
    <mergeCell ref="C56:C57"/>
    <mergeCell ref="D57:E57"/>
    <mergeCell ref="B52:B53"/>
    <mergeCell ref="B54:B55"/>
  </mergeCells>
  <phoneticPr fontId="2"/>
  <conditionalFormatting sqref="J73 J71 L73 L71 N73 N71 P73 P71 P69 N69 L69 J69 F67 H67 J67 L67 N67 P67 J63 L63 N63 P63 P61 J61 J59 L59 N59 P59 P57 N57 L57 J57 J55 L55 N55 P55 P53 N53 L53 J53 J51 L51 N51 P51 P49 N49 L49 J49 N47 P47 P45 N45 N43 P43 P41 N41 L41 J39 L39 N39 P39 P37 N37 L37 J37 J35 L35 N35 P35 P33 N33 L33 J33 P31 N31 L31 J31 J29 L29 N29 P29 P27 N27 L27 J27 J25 L25 N25 P25 P23 N23 L23 J23 J21 L21 N21 P21 P19 N19 L19 J19 J17 L17 N17 P17 P15 N15 L15 J15 J13 L13 N13 P13 P11 N11 L11 J11 H11 F11 F9 H9 J9 L9 N9 P9 P7 N7 L7 J7 H7 F7 L43 L45 L47 H41 H43 H45 H47 N61">
    <cfRule type="cellIs" dxfId="25" priority="3" operator="lessThan">
      <formula>1</formula>
    </cfRule>
    <cfRule type="cellIs" dxfId="24" priority="4" operator="greaterThanOrEqual">
      <formula>1</formula>
    </cfRule>
  </conditionalFormatting>
  <conditionalFormatting sqref="F65 H65 J65 L65 N65 P65">
    <cfRule type="cellIs" dxfId="23" priority="1" operator="lessThan">
      <formula>1</formula>
    </cfRule>
    <cfRule type="cellIs" dxfId="22" priority="2" operator="greaterThanOrEqual">
      <formula>1</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4530-6423-4CD7-9E6A-D15E4BF81A9F}">
  <dimension ref="A2:Q90"/>
  <sheetViews>
    <sheetView showGridLines="0" topLeftCell="A4" zoomScale="80" zoomScaleNormal="80" workbookViewId="0">
      <selection activeCell="T6" sqref="T6"/>
    </sheetView>
  </sheetViews>
  <sheetFormatPr defaultRowHeight="18.75" x14ac:dyDescent="0.15"/>
  <cols>
    <col min="1" max="1" width="26.5" style="1" bestFit="1" customWidth="1"/>
    <col min="2" max="2" width="24.375" style="2" bestFit="1" customWidth="1"/>
    <col min="3" max="3" width="8.625" style="2" customWidth="1"/>
    <col min="4" max="4" width="9.75" style="1" customWidth="1"/>
    <col min="5" max="5" width="7.5" style="1" bestFit="1" customWidth="1"/>
    <col min="6" max="6" width="9.625" style="1" customWidth="1"/>
    <col min="7" max="7" width="7.625" style="1" bestFit="1" customWidth="1"/>
    <col min="8" max="8" width="9.625" style="1" bestFit="1" customWidth="1"/>
    <col min="9" max="9" width="7.5" style="1" bestFit="1" customWidth="1"/>
    <col min="10" max="10" width="8.375" style="1" bestFit="1" customWidth="1"/>
    <col min="11" max="11" width="7.625" style="1" bestFit="1" customWidth="1"/>
    <col min="12" max="12" width="9.625" style="1" bestFit="1" customWidth="1"/>
    <col min="13" max="13" width="7.625" style="1" bestFit="1" customWidth="1"/>
    <col min="14" max="14" width="9.625" style="1" bestFit="1" customWidth="1"/>
    <col min="15" max="15" width="7.625" style="1" bestFit="1" customWidth="1"/>
    <col min="16" max="16" width="9.625" style="1" bestFit="1" customWidth="1"/>
    <col min="17" max="17" width="7.62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18.75" customHeight="1" x14ac:dyDescent="0.15">
      <c r="A6" s="139" t="s">
        <v>0</v>
      </c>
      <c r="B6" s="141" t="s">
        <v>173</v>
      </c>
      <c r="C6" s="142" t="s">
        <v>21</v>
      </c>
      <c r="D6" s="25">
        <v>863</v>
      </c>
      <c r="E6" s="50">
        <v>12</v>
      </c>
      <c r="F6" s="25">
        <v>852</v>
      </c>
      <c r="G6" s="50">
        <v>12</v>
      </c>
      <c r="H6" s="25">
        <v>823</v>
      </c>
      <c r="I6" s="50">
        <v>9</v>
      </c>
      <c r="J6" s="25">
        <v>716</v>
      </c>
      <c r="K6" s="50">
        <v>3</v>
      </c>
      <c r="L6" s="25">
        <v>663</v>
      </c>
      <c r="M6" s="50">
        <v>8</v>
      </c>
      <c r="N6" s="25">
        <v>652</v>
      </c>
      <c r="O6" s="50">
        <v>11</v>
      </c>
      <c r="P6" s="30">
        <v>597</v>
      </c>
      <c r="Q6" s="60">
        <v>7</v>
      </c>
    </row>
    <row r="7" spans="1:17" ht="19.5" thickBot="1" x14ac:dyDescent="0.2">
      <c r="A7" s="131"/>
      <c r="B7" s="112"/>
      <c r="C7" s="143"/>
      <c r="D7" s="24"/>
      <c r="E7" s="51">
        <f>E6/D6</f>
        <v>1.3904982618771726E-2</v>
      </c>
      <c r="F7" s="16">
        <f>F6/D6</f>
        <v>0.98725376593279257</v>
      </c>
      <c r="G7" s="57">
        <f>G6/F6</f>
        <v>1.4084507042253521E-2</v>
      </c>
      <c r="H7" s="16">
        <f>H6/F6</f>
        <v>0.965962441314554</v>
      </c>
      <c r="I7" s="57">
        <f>I6/H6</f>
        <v>1.0935601458080195E-2</v>
      </c>
      <c r="J7" s="16">
        <f>J6/H6</f>
        <v>0.86998784933171325</v>
      </c>
      <c r="K7" s="57">
        <f>K6/J6</f>
        <v>4.1899441340782122E-3</v>
      </c>
      <c r="L7" s="16">
        <f>L6/J6</f>
        <v>0.92597765363128492</v>
      </c>
      <c r="M7" s="57">
        <f>M6/L6</f>
        <v>1.2066365007541479E-2</v>
      </c>
      <c r="N7" s="16">
        <f>N6/L6</f>
        <v>0.98340874811463042</v>
      </c>
      <c r="O7" s="57">
        <f>O6/N6</f>
        <v>1.6871165644171779E-2</v>
      </c>
      <c r="P7" s="16">
        <f>P6/N6</f>
        <v>0.91564417177914115</v>
      </c>
      <c r="Q7" s="57">
        <f>Q6/P6</f>
        <v>1.1725293132328308E-2</v>
      </c>
    </row>
    <row r="8" spans="1:17" ht="18.75" customHeight="1" x14ac:dyDescent="0.15">
      <c r="A8" s="131"/>
      <c r="B8" s="141" t="s">
        <v>146</v>
      </c>
      <c r="C8" s="142" t="s">
        <v>21</v>
      </c>
      <c r="D8" s="25">
        <v>284</v>
      </c>
      <c r="E8" s="50">
        <v>8</v>
      </c>
      <c r="F8" s="25">
        <v>280</v>
      </c>
      <c r="G8" s="50">
        <v>8</v>
      </c>
      <c r="H8" s="25">
        <v>273</v>
      </c>
      <c r="I8" s="50">
        <v>3</v>
      </c>
      <c r="J8" s="25">
        <v>269</v>
      </c>
      <c r="K8" s="50">
        <v>1</v>
      </c>
      <c r="L8" s="25">
        <v>261</v>
      </c>
      <c r="M8" s="50">
        <v>2</v>
      </c>
      <c r="N8" s="25">
        <v>209</v>
      </c>
      <c r="O8" s="50">
        <v>4</v>
      </c>
      <c r="P8" s="31">
        <v>163</v>
      </c>
      <c r="Q8" s="61">
        <v>6</v>
      </c>
    </row>
    <row r="9" spans="1:17" ht="19.5" thickBot="1" x14ac:dyDescent="0.2">
      <c r="A9" s="131"/>
      <c r="B9" s="112"/>
      <c r="C9" s="143"/>
      <c r="D9" s="24"/>
      <c r="E9" s="51">
        <f>E8/D8</f>
        <v>2.8169014084507043E-2</v>
      </c>
      <c r="F9" s="16">
        <f>F8/D8</f>
        <v>0.9859154929577465</v>
      </c>
      <c r="G9" s="57">
        <f>G8/F8</f>
        <v>2.8571428571428571E-2</v>
      </c>
      <c r="H9" s="16">
        <f>H8/F8</f>
        <v>0.97499999999999998</v>
      </c>
      <c r="I9" s="57">
        <f>I8/H8</f>
        <v>1.098901098901099E-2</v>
      </c>
      <c r="J9" s="16">
        <f>J8/H8</f>
        <v>0.9853479853479854</v>
      </c>
      <c r="K9" s="57">
        <f>K8/J8</f>
        <v>3.7174721189591076E-3</v>
      </c>
      <c r="L9" s="16">
        <f>L8/J8</f>
        <v>0.97026022304832715</v>
      </c>
      <c r="M9" s="57">
        <f>M8/L8</f>
        <v>7.6628352490421452E-3</v>
      </c>
      <c r="N9" s="16">
        <f>N8/L8</f>
        <v>0.8007662835249042</v>
      </c>
      <c r="O9" s="57">
        <f>O8/N8</f>
        <v>1.9138755980861243E-2</v>
      </c>
      <c r="P9" s="16">
        <f>P8/N8</f>
        <v>0.77990430622009566</v>
      </c>
      <c r="Q9" s="57">
        <f>Q8/P8</f>
        <v>3.6809815950920248E-2</v>
      </c>
    </row>
    <row r="10" spans="1:17" ht="18.75" customHeight="1" x14ac:dyDescent="0.15">
      <c r="A10" s="139" t="s">
        <v>1</v>
      </c>
      <c r="B10" s="141" t="s">
        <v>173</v>
      </c>
      <c r="C10" s="142" t="s">
        <v>21</v>
      </c>
      <c r="D10" s="25">
        <v>393</v>
      </c>
      <c r="E10" s="50">
        <v>3</v>
      </c>
      <c r="F10" s="25">
        <v>430</v>
      </c>
      <c r="G10" s="50">
        <v>5</v>
      </c>
      <c r="H10" s="25">
        <v>455</v>
      </c>
      <c r="I10" s="50">
        <v>3</v>
      </c>
      <c r="J10" s="25">
        <v>359</v>
      </c>
      <c r="K10" s="50">
        <v>0</v>
      </c>
      <c r="L10" s="25">
        <v>252</v>
      </c>
      <c r="M10" s="50">
        <v>0</v>
      </c>
      <c r="N10" s="25">
        <v>263</v>
      </c>
      <c r="O10" s="50">
        <v>2</v>
      </c>
      <c r="P10" s="31">
        <v>296</v>
      </c>
      <c r="Q10" s="61">
        <v>3</v>
      </c>
    </row>
    <row r="11" spans="1:17" ht="19.5" thickBot="1" x14ac:dyDescent="0.2">
      <c r="A11" s="131"/>
      <c r="B11" s="112"/>
      <c r="C11" s="143"/>
      <c r="D11" s="24"/>
      <c r="E11" s="51">
        <f>E10/D10</f>
        <v>7.6335877862595417E-3</v>
      </c>
      <c r="F11" s="16">
        <f>F10/D10</f>
        <v>1.0941475826972009</v>
      </c>
      <c r="G11" s="57">
        <f>G10/F10</f>
        <v>1.1627906976744186E-2</v>
      </c>
      <c r="H11" s="16">
        <f>H10/F10</f>
        <v>1.058139534883721</v>
      </c>
      <c r="I11" s="57">
        <f>I10/H10</f>
        <v>6.5934065934065934E-3</v>
      </c>
      <c r="J11" s="16">
        <f>J10/H10</f>
        <v>0.78901098901098898</v>
      </c>
      <c r="K11" s="57">
        <f>K10/J10</f>
        <v>0</v>
      </c>
      <c r="L11" s="16">
        <f>L10/J10</f>
        <v>0.70194986072423393</v>
      </c>
      <c r="M11" s="57">
        <f>M10/L10</f>
        <v>0</v>
      </c>
      <c r="N11" s="16">
        <f>N10/L10</f>
        <v>1.0436507936507937</v>
      </c>
      <c r="O11" s="57">
        <f>O10/N10</f>
        <v>7.6045627376425855E-3</v>
      </c>
      <c r="P11" s="16">
        <f>P10/N10</f>
        <v>1.1254752851711027</v>
      </c>
      <c r="Q11" s="57">
        <f>Q10/P10</f>
        <v>1.0135135135135136E-2</v>
      </c>
    </row>
    <row r="12" spans="1:17" ht="18.75" customHeight="1" x14ac:dyDescent="0.15">
      <c r="A12" s="131"/>
      <c r="B12" s="141" t="s">
        <v>146</v>
      </c>
      <c r="C12" s="142" t="s">
        <v>21</v>
      </c>
      <c r="D12" s="25">
        <v>121</v>
      </c>
      <c r="E12" s="50">
        <v>2</v>
      </c>
      <c r="F12" s="25">
        <v>128</v>
      </c>
      <c r="G12" s="50">
        <v>2</v>
      </c>
      <c r="H12" s="25">
        <v>139</v>
      </c>
      <c r="I12" s="50">
        <v>2</v>
      </c>
      <c r="J12" s="25">
        <v>124</v>
      </c>
      <c r="K12" s="50">
        <v>0</v>
      </c>
      <c r="L12" s="25">
        <v>124</v>
      </c>
      <c r="M12" s="50">
        <v>2</v>
      </c>
      <c r="N12" s="25">
        <v>116</v>
      </c>
      <c r="O12" s="50">
        <v>2</v>
      </c>
      <c r="P12" s="31">
        <v>111</v>
      </c>
      <c r="Q12" s="61">
        <v>1</v>
      </c>
    </row>
    <row r="13" spans="1:17" ht="19.5" thickBot="1" x14ac:dyDescent="0.2">
      <c r="A13" s="140"/>
      <c r="B13" s="112"/>
      <c r="C13" s="143"/>
      <c r="D13" s="24"/>
      <c r="E13" s="51">
        <f>E12/D12</f>
        <v>1.6528925619834711E-2</v>
      </c>
      <c r="F13" s="16">
        <f>F12/D12</f>
        <v>1.0578512396694215</v>
      </c>
      <c r="G13" s="57">
        <f>G12/F12</f>
        <v>1.5625E-2</v>
      </c>
      <c r="H13" s="16">
        <f>H12/F12</f>
        <v>1.0859375</v>
      </c>
      <c r="I13" s="57">
        <f>I12/H12</f>
        <v>1.4388489208633094E-2</v>
      </c>
      <c r="J13" s="16">
        <f>J12/H12</f>
        <v>0.8920863309352518</v>
      </c>
      <c r="K13" s="57">
        <f>K12/J12</f>
        <v>0</v>
      </c>
      <c r="L13" s="16">
        <f>L12/J12</f>
        <v>1</v>
      </c>
      <c r="M13" s="57">
        <f>M12/L12</f>
        <v>1.6129032258064516E-2</v>
      </c>
      <c r="N13" s="16">
        <f>N12/L12</f>
        <v>0.93548387096774188</v>
      </c>
      <c r="O13" s="57">
        <f>O12/N12</f>
        <v>1.7241379310344827E-2</v>
      </c>
      <c r="P13" s="16">
        <f>P12/N12</f>
        <v>0.9568965517241379</v>
      </c>
      <c r="Q13" s="57">
        <f>Q12/P12</f>
        <v>9.0090090090090089E-3</v>
      </c>
    </row>
    <row r="14" spans="1:17" ht="18.75" customHeight="1" x14ac:dyDescent="0.15">
      <c r="A14" s="129" t="s">
        <v>182</v>
      </c>
      <c r="B14" s="104" t="s">
        <v>183</v>
      </c>
      <c r="C14" s="118" t="s">
        <v>21</v>
      </c>
      <c r="D14" s="6"/>
      <c r="E14" s="7"/>
      <c r="F14" s="26">
        <v>385</v>
      </c>
      <c r="G14" s="52">
        <v>42</v>
      </c>
      <c r="H14" s="26">
        <v>407</v>
      </c>
      <c r="I14" s="52">
        <v>36</v>
      </c>
      <c r="J14" s="26">
        <v>364</v>
      </c>
      <c r="K14" s="52">
        <v>22</v>
      </c>
      <c r="L14" s="26">
        <v>370</v>
      </c>
      <c r="M14" s="52">
        <v>36</v>
      </c>
      <c r="N14" s="26">
        <v>362</v>
      </c>
      <c r="O14" s="52">
        <v>48</v>
      </c>
      <c r="P14" s="28">
        <v>331</v>
      </c>
      <c r="Q14" s="62">
        <v>36</v>
      </c>
    </row>
    <row r="15" spans="1:17" ht="19.5" thickBot="1" x14ac:dyDescent="0.2">
      <c r="A15" s="123"/>
      <c r="B15" s="105"/>
      <c r="C15" s="119"/>
      <c r="D15" s="100"/>
      <c r="E15" s="97"/>
      <c r="F15" s="19"/>
      <c r="G15" s="53">
        <f>G14/F14</f>
        <v>0.10909090909090909</v>
      </c>
      <c r="H15" s="47">
        <f>H14/F14</f>
        <v>1.0571428571428572</v>
      </c>
      <c r="I15" s="53">
        <f>I14/H14</f>
        <v>8.8452088452088448E-2</v>
      </c>
      <c r="J15" s="47">
        <f>J14/H14</f>
        <v>0.89434889434889431</v>
      </c>
      <c r="K15" s="53">
        <f>K14/J14</f>
        <v>6.043956043956044E-2</v>
      </c>
      <c r="L15" s="47">
        <f>L14/J14</f>
        <v>1.0164835164835164</v>
      </c>
      <c r="M15" s="53">
        <f>M14/L14</f>
        <v>9.7297297297297303E-2</v>
      </c>
      <c r="N15" s="47">
        <f>N14/L14</f>
        <v>0.97837837837837838</v>
      </c>
      <c r="O15" s="53">
        <f>O14/N14</f>
        <v>0.13259668508287292</v>
      </c>
      <c r="P15" s="47">
        <f>P14/N14</f>
        <v>0.91436464088397795</v>
      </c>
      <c r="Q15" s="63">
        <f>Q14/P14</f>
        <v>0.10876132930513595</v>
      </c>
    </row>
    <row r="16" spans="1:17" ht="22.5" x14ac:dyDescent="0.15">
      <c r="A16" s="123"/>
      <c r="B16" s="104" t="s">
        <v>146</v>
      </c>
      <c r="C16" s="118" t="s">
        <v>21</v>
      </c>
      <c r="D16" s="6"/>
      <c r="E16" s="7"/>
      <c r="F16" s="26">
        <v>218</v>
      </c>
      <c r="G16" s="52">
        <v>19</v>
      </c>
      <c r="H16" s="26">
        <v>213</v>
      </c>
      <c r="I16" s="52">
        <v>9</v>
      </c>
      <c r="J16" s="26">
        <v>190</v>
      </c>
      <c r="K16" s="52">
        <v>4</v>
      </c>
      <c r="L16" s="26">
        <v>174</v>
      </c>
      <c r="M16" s="52">
        <v>7</v>
      </c>
      <c r="N16" s="26">
        <v>163</v>
      </c>
      <c r="O16" s="52">
        <v>8</v>
      </c>
      <c r="P16" s="28">
        <v>161</v>
      </c>
      <c r="Q16" s="62">
        <v>13</v>
      </c>
    </row>
    <row r="17" spans="1:17" ht="19.5" thickBot="1" x14ac:dyDescent="0.2">
      <c r="A17" s="123"/>
      <c r="B17" s="105"/>
      <c r="C17" s="119"/>
      <c r="D17" s="100"/>
      <c r="E17" s="97"/>
      <c r="F17" s="19"/>
      <c r="G17" s="53">
        <f>G16/F16</f>
        <v>8.7155963302752298E-2</v>
      </c>
      <c r="H17" s="47">
        <f>H16/F16</f>
        <v>0.97706422018348627</v>
      </c>
      <c r="I17" s="53">
        <f>I16/H16</f>
        <v>4.2253521126760563E-2</v>
      </c>
      <c r="J17" s="47">
        <f>J16/H16</f>
        <v>0.892018779342723</v>
      </c>
      <c r="K17" s="53">
        <f>K16/J16</f>
        <v>2.1052631578947368E-2</v>
      </c>
      <c r="L17" s="47">
        <f>L16/J16</f>
        <v>0.91578947368421049</v>
      </c>
      <c r="M17" s="53">
        <f>M16/L16</f>
        <v>4.0229885057471264E-2</v>
      </c>
      <c r="N17" s="47">
        <f>N16/L16</f>
        <v>0.93678160919540232</v>
      </c>
      <c r="O17" s="53">
        <f>O16/N16</f>
        <v>4.9079754601226995E-2</v>
      </c>
      <c r="P17" s="47">
        <f>P16/N16</f>
        <v>0.98773006134969321</v>
      </c>
      <c r="Q17" s="63">
        <f>Q16/P16</f>
        <v>8.0745341614906832E-2</v>
      </c>
    </row>
    <row r="18" spans="1:17" ht="18.75" customHeight="1" x14ac:dyDescent="0.15">
      <c r="A18" s="129" t="s">
        <v>2</v>
      </c>
      <c r="B18" s="104" t="s">
        <v>174</v>
      </c>
      <c r="C18" s="118" t="s">
        <v>21</v>
      </c>
      <c r="D18" s="26">
        <v>189</v>
      </c>
      <c r="E18" s="52">
        <v>6</v>
      </c>
      <c r="F18" s="26">
        <v>232</v>
      </c>
      <c r="G18" s="52">
        <v>4</v>
      </c>
      <c r="H18" s="26">
        <v>260</v>
      </c>
      <c r="I18" s="52">
        <v>3</v>
      </c>
      <c r="J18" s="26">
        <v>232</v>
      </c>
      <c r="K18" s="52">
        <v>2</v>
      </c>
      <c r="L18" s="26">
        <v>195</v>
      </c>
      <c r="M18" s="52">
        <v>0</v>
      </c>
      <c r="N18" s="26">
        <v>136</v>
      </c>
      <c r="O18" s="52">
        <v>0</v>
      </c>
      <c r="P18" s="28">
        <v>115</v>
      </c>
      <c r="Q18" s="62">
        <v>2</v>
      </c>
    </row>
    <row r="19" spans="1:17" ht="19.5" thickBot="1" x14ac:dyDescent="0.2">
      <c r="A19" s="123"/>
      <c r="B19" s="105"/>
      <c r="C19" s="119"/>
      <c r="D19" s="19"/>
      <c r="E19" s="53">
        <f>E18/D18</f>
        <v>3.1746031746031744E-2</v>
      </c>
      <c r="F19" s="47">
        <f>F18/D18</f>
        <v>1.2275132275132274</v>
      </c>
      <c r="G19" s="53">
        <f>G18/F18</f>
        <v>1.7241379310344827E-2</v>
      </c>
      <c r="H19" s="47">
        <f>H18/F18</f>
        <v>1.1206896551724137</v>
      </c>
      <c r="I19" s="53">
        <f>I18/H18</f>
        <v>1.1538461538461539E-2</v>
      </c>
      <c r="J19" s="47">
        <f>J18/H18</f>
        <v>0.89230769230769236</v>
      </c>
      <c r="K19" s="53">
        <f>K18/J18</f>
        <v>8.6206896551724137E-3</v>
      </c>
      <c r="L19" s="47">
        <f>L18/J18</f>
        <v>0.84051724137931039</v>
      </c>
      <c r="M19" s="53">
        <f>M18/L18</f>
        <v>0</v>
      </c>
      <c r="N19" s="47">
        <f>N18/L18</f>
        <v>0.6974358974358974</v>
      </c>
      <c r="O19" s="53">
        <f>O18/N18</f>
        <v>0</v>
      </c>
      <c r="P19" s="47">
        <f>P18/N18</f>
        <v>0.84558823529411764</v>
      </c>
      <c r="Q19" s="63">
        <f>Q18/P18</f>
        <v>1.7391304347826087E-2</v>
      </c>
    </row>
    <row r="20" spans="1:17" ht="22.5" x14ac:dyDescent="0.15">
      <c r="A20" s="123"/>
      <c r="B20" s="104" t="s">
        <v>175</v>
      </c>
      <c r="C20" s="118" t="s">
        <v>21</v>
      </c>
      <c r="D20" s="26">
        <v>153</v>
      </c>
      <c r="E20" s="52">
        <v>7</v>
      </c>
      <c r="F20" s="26">
        <v>168</v>
      </c>
      <c r="G20" s="52">
        <v>7</v>
      </c>
      <c r="H20" s="26">
        <v>176</v>
      </c>
      <c r="I20" s="52">
        <v>1</v>
      </c>
      <c r="J20" s="26">
        <v>166</v>
      </c>
      <c r="K20" s="52">
        <v>0</v>
      </c>
      <c r="L20" s="26">
        <v>137</v>
      </c>
      <c r="M20" s="52">
        <v>1</v>
      </c>
      <c r="N20" s="26">
        <v>121</v>
      </c>
      <c r="O20" s="52">
        <v>1</v>
      </c>
      <c r="P20" s="28">
        <v>102</v>
      </c>
      <c r="Q20" s="62">
        <v>1</v>
      </c>
    </row>
    <row r="21" spans="1:17" ht="19.5" thickBot="1" x14ac:dyDescent="0.2">
      <c r="A21" s="123"/>
      <c r="B21" s="105"/>
      <c r="C21" s="119"/>
      <c r="D21" s="19"/>
      <c r="E21" s="53">
        <f>E20/D20</f>
        <v>4.5751633986928102E-2</v>
      </c>
      <c r="F21" s="47">
        <f>F20/D20</f>
        <v>1.0980392156862746</v>
      </c>
      <c r="G21" s="53">
        <f>G20/F20</f>
        <v>4.1666666666666664E-2</v>
      </c>
      <c r="H21" s="47">
        <f>H20/F20</f>
        <v>1.0476190476190477</v>
      </c>
      <c r="I21" s="53">
        <f>I20/H20</f>
        <v>5.681818181818182E-3</v>
      </c>
      <c r="J21" s="47">
        <f>J20/H20</f>
        <v>0.94318181818181823</v>
      </c>
      <c r="K21" s="53">
        <f>K20/J20</f>
        <v>0</v>
      </c>
      <c r="L21" s="47">
        <f>L20/J20</f>
        <v>0.82530120481927716</v>
      </c>
      <c r="M21" s="53">
        <f>M20/L20</f>
        <v>7.2992700729927005E-3</v>
      </c>
      <c r="N21" s="47">
        <f>N20/L20</f>
        <v>0.88321167883211682</v>
      </c>
      <c r="O21" s="53">
        <f>O20/N20</f>
        <v>8.2644628099173556E-3</v>
      </c>
      <c r="P21" s="47">
        <f>P20/N20</f>
        <v>0.84297520661157022</v>
      </c>
      <c r="Q21" s="63">
        <f>Q20/P20</f>
        <v>9.8039215686274508E-3</v>
      </c>
    </row>
    <row r="22" spans="1:17" ht="22.5" x14ac:dyDescent="0.15">
      <c r="A22" s="98" t="s">
        <v>4</v>
      </c>
      <c r="B22" s="108" t="s">
        <v>45</v>
      </c>
      <c r="C22" s="118" t="s">
        <v>21</v>
      </c>
      <c r="D22" s="6"/>
      <c r="E22" s="7"/>
      <c r="F22" s="26">
        <v>447</v>
      </c>
      <c r="G22" s="52">
        <v>51</v>
      </c>
      <c r="H22" s="26">
        <v>372</v>
      </c>
      <c r="I22" s="52">
        <v>20</v>
      </c>
      <c r="J22" s="26">
        <v>287</v>
      </c>
      <c r="K22" s="52">
        <v>19</v>
      </c>
      <c r="L22" s="26">
        <v>269</v>
      </c>
      <c r="M22" s="52">
        <v>21</v>
      </c>
      <c r="N22" s="26">
        <v>268</v>
      </c>
      <c r="O22" s="52">
        <v>25</v>
      </c>
      <c r="P22" s="28">
        <v>289</v>
      </c>
      <c r="Q22" s="62">
        <v>27</v>
      </c>
    </row>
    <row r="23" spans="1:17" ht="19.5" thickBot="1" x14ac:dyDescent="0.2">
      <c r="A23" s="144"/>
      <c r="B23" s="107"/>
      <c r="C23" s="119"/>
      <c r="D23" s="100"/>
      <c r="E23" s="97"/>
      <c r="F23" s="19"/>
      <c r="G23" s="53">
        <f>G22/F22</f>
        <v>0.11409395973154363</v>
      </c>
      <c r="H23" s="47">
        <f>H22/F22</f>
        <v>0.83221476510067116</v>
      </c>
      <c r="I23" s="53">
        <f>I22/H22</f>
        <v>5.3763440860215055E-2</v>
      </c>
      <c r="J23" s="47">
        <f>J22/H22</f>
        <v>0.771505376344086</v>
      </c>
      <c r="K23" s="53">
        <f>K22/J22</f>
        <v>6.6202090592334492E-2</v>
      </c>
      <c r="L23" s="47">
        <f>L22/J22</f>
        <v>0.93728222996515675</v>
      </c>
      <c r="M23" s="53">
        <f>M22/L22</f>
        <v>7.8066914498141265E-2</v>
      </c>
      <c r="N23" s="47">
        <f>N22/L22</f>
        <v>0.99628252788104088</v>
      </c>
      <c r="O23" s="53">
        <f>O22/N22</f>
        <v>9.3283582089552244E-2</v>
      </c>
      <c r="P23" s="47">
        <f>P22/N22</f>
        <v>1.0783582089552239</v>
      </c>
      <c r="Q23" s="63">
        <f>Q22/P22</f>
        <v>9.3425605536332182E-2</v>
      </c>
    </row>
    <row r="24" spans="1:17" ht="22.5" x14ac:dyDescent="0.15">
      <c r="A24" s="98" t="s">
        <v>13</v>
      </c>
      <c r="B24" s="104" t="s">
        <v>177</v>
      </c>
      <c r="C24" s="118" t="s">
        <v>21</v>
      </c>
      <c r="D24" s="26">
        <v>134</v>
      </c>
      <c r="E24" s="52">
        <v>9</v>
      </c>
      <c r="F24" s="6"/>
      <c r="G24" s="7"/>
      <c r="H24" s="6"/>
      <c r="I24" s="7"/>
      <c r="J24" s="26">
        <v>138</v>
      </c>
      <c r="K24" s="52">
        <v>14</v>
      </c>
      <c r="L24" s="26">
        <v>128</v>
      </c>
      <c r="M24" s="52">
        <v>16</v>
      </c>
      <c r="N24" s="6"/>
      <c r="O24" s="7"/>
      <c r="P24" s="28">
        <v>136</v>
      </c>
      <c r="Q24" s="62">
        <v>10</v>
      </c>
    </row>
    <row r="25" spans="1:17" ht="19.5" customHeight="1" thickBot="1" x14ac:dyDescent="0.2">
      <c r="A25" s="99"/>
      <c r="B25" s="105"/>
      <c r="C25" s="119"/>
      <c r="D25" s="19"/>
      <c r="E25" s="53">
        <f>E24/D24</f>
        <v>6.7164179104477612E-2</v>
      </c>
      <c r="F25" s="102"/>
      <c r="G25" s="103"/>
      <c r="H25" s="102"/>
      <c r="I25" s="103"/>
      <c r="J25" s="19"/>
      <c r="K25" s="53">
        <f>K24/J24</f>
        <v>0.10144927536231885</v>
      </c>
      <c r="L25" s="47">
        <f>L24/J24</f>
        <v>0.92753623188405798</v>
      </c>
      <c r="M25" s="53">
        <f>M24/L24</f>
        <v>0.125</v>
      </c>
      <c r="N25" s="102"/>
      <c r="O25" s="103"/>
      <c r="P25" s="47">
        <f>P24/L24</f>
        <v>1.0625</v>
      </c>
      <c r="Q25" s="63">
        <f>Q24/P24</f>
        <v>7.3529411764705885E-2</v>
      </c>
    </row>
    <row r="26" spans="1:17" ht="18.75" customHeight="1" x14ac:dyDescent="0.15">
      <c r="A26" s="129" t="s">
        <v>5</v>
      </c>
      <c r="B26" s="104" t="s">
        <v>178</v>
      </c>
      <c r="C26" s="118" t="s">
        <v>38</v>
      </c>
      <c r="D26" s="6"/>
      <c r="E26" s="7"/>
      <c r="F26" s="6"/>
      <c r="G26" s="7"/>
      <c r="H26" s="6"/>
      <c r="I26" s="7"/>
      <c r="J26" s="26">
        <v>18</v>
      </c>
      <c r="K26" s="52">
        <v>1</v>
      </c>
      <c r="L26" s="26">
        <v>16</v>
      </c>
      <c r="M26" s="52">
        <v>1</v>
      </c>
      <c r="N26" s="26">
        <v>19</v>
      </c>
      <c r="O26" s="52">
        <v>1</v>
      </c>
      <c r="P26" s="28">
        <v>17</v>
      </c>
      <c r="Q26" s="62">
        <v>1</v>
      </c>
    </row>
    <row r="27" spans="1:17" ht="19.5" thickBot="1" x14ac:dyDescent="0.2">
      <c r="A27" s="123"/>
      <c r="B27" s="105"/>
      <c r="C27" s="119"/>
      <c r="D27" s="100"/>
      <c r="E27" s="97"/>
      <c r="F27" s="102"/>
      <c r="G27" s="103"/>
      <c r="H27" s="102"/>
      <c r="I27" s="103"/>
      <c r="J27" s="19"/>
      <c r="K27" s="53">
        <f>K26/J26</f>
        <v>5.5555555555555552E-2</v>
      </c>
      <c r="L27" s="47">
        <f>L26/J26</f>
        <v>0.88888888888888884</v>
      </c>
      <c r="M27" s="53">
        <f>M26/L26</f>
        <v>6.25E-2</v>
      </c>
      <c r="N27" s="47">
        <f>N26/L26</f>
        <v>1.1875</v>
      </c>
      <c r="O27" s="53">
        <f>O26/N26</f>
        <v>5.2631578947368418E-2</v>
      </c>
      <c r="P27" s="47">
        <f>P26/N26</f>
        <v>0.89473684210526316</v>
      </c>
      <c r="Q27" s="63">
        <f>Q26/P26</f>
        <v>5.8823529411764705E-2</v>
      </c>
    </row>
    <row r="28" spans="1:17" ht="22.5" x14ac:dyDescent="0.15">
      <c r="A28" s="123"/>
      <c r="B28" s="104" t="s">
        <v>179</v>
      </c>
      <c r="C28" s="118" t="s">
        <v>21</v>
      </c>
      <c r="D28" s="6"/>
      <c r="E28" s="7"/>
      <c r="F28" s="6"/>
      <c r="G28" s="7"/>
      <c r="H28" s="6"/>
      <c r="I28" s="7"/>
      <c r="J28" s="26">
        <v>47</v>
      </c>
      <c r="K28" s="52">
        <v>5</v>
      </c>
      <c r="L28" s="26">
        <v>46</v>
      </c>
      <c r="M28" s="52">
        <v>4</v>
      </c>
      <c r="N28" s="26">
        <v>46</v>
      </c>
      <c r="O28" s="52">
        <v>3</v>
      </c>
      <c r="P28" s="28">
        <v>37</v>
      </c>
      <c r="Q28" s="62">
        <v>3</v>
      </c>
    </row>
    <row r="29" spans="1:17" ht="19.5" thickBot="1" x14ac:dyDescent="0.2">
      <c r="A29" s="123"/>
      <c r="B29" s="105"/>
      <c r="C29" s="119"/>
      <c r="D29" s="100"/>
      <c r="E29" s="97"/>
      <c r="F29" s="102"/>
      <c r="G29" s="103"/>
      <c r="H29" s="102"/>
      <c r="I29" s="103"/>
      <c r="J29" s="19"/>
      <c r="K29" s="53">
        <f>K28/J28</f>
        <v>0.10638297872340426</v>
      </c>
      <c r="L29" s="47">
        <f>L28/J28</f>
        <v>0.97872340425531912</v>
      </c>
      <c r="M29" s="53">
        <f>M28/L28</f>
        <v>8.6956521739130432E-2</v>
      </c>
      <c r="N29" s="47">
        <f>N28/L28</f>
        <v>1</v>
      </c>
      <c r="O29" s="53">
        <f>O28/N28</f>
        <v>6.5217391304347824E-2</v>
      </c>
      <c r="P29" s="47">
        <f>P28/N28</f>
        <v>0.80434782608695654</v>
      </c>
      <c r="Q29" s="63">
        <f>Q28/P28</f>
        <v>8.1081081081081086E-2</v>
      </c>
    </row>
    <row r="30" spans="1:17" ht="22.5" x14ac:dyDescent="0.15">
      <c r="A30" s="123"/>
      <c r="B30" s="104" t="s">
        <v>180</v>
      </c>
      <c r="C30" s="118" t="s">
        <v>21</v>
      </c>
      <c r="D30" s="6"/>
      <c r="E30" s="7"/>
      <c r="F30" s="6"/>
      <c r="G30" s="7"/>
      <c r="H30" s="6"/>
      <c r="I30" s="7"/>
      <c r="J30" s="26">
        <v>28</v>
      </c>
      <c r="K30" s="52">
        <v>1</v>
      </c>
      <c r="L30" s="26">
        <v>28</v>
      </c>
      <c r="M30" s="52">
        <v>0</v>
      </c>
      <c r="N30" s="26">
        <v>29</v>
      </c>
      <c r="O30" s="52">
        <v>1</v>
      </c>
      <c r="P30" s="28">
        <v>37</v>
      </c>
      <c r="Q30" s="62">
        <v>2</v>
      </c>
    </row>
    <row r="31" spans="1:17" ht="19.5" thickBot="1" x14ac:dyDescent="0.2">
      <c r="A31" s="123"/>
      <c r="B31" s="105"/>
      <c r="C31" s="119"/>
      <c r="D31" s="100"/>
      <c r="E31" s="97"/>
      <c r="F31" s="102"/>
      <c r="G31" s="103"/>
      <c r="H31" s="102"/>
      <c r="I31" s="103"/>
      <c r="J31" s="19"/>
      <c r="K31" s="53">
        <f>K30/J30</f>
        <v>3.5714285714285712E-2</v>
      </c>
      <c r="L31" s="47">
        <f>L30/J30</f>
        <v>1</v>
      </c>
      <c r="M31" s="53">
        <f>M30/L30</f>
        <v>0</v>
      </c>
      <c r="N31" s="47">
        <f>N30/L30</f>
        <v>1.0357142857142858</v>
      </c>
      <c r="O31" s="53">
        <f>O30/N30</f>
        <v>3.4482758620689655E-2</v>
      </c>
      <c r="P31" s="47">
        <f>P30/N30</f>
        <v>1.2758620689655173</v>
      </c>
      <c r="Q31" s="63">
        <f>Q30/P30</f>
        <v>5.4054054054054057E-2</v>
      </c>
    </row>
    <row r="32" spans="1:17" ht="22.5" x14ac:dyDescent="0.15">
      <c r="A32" s="123"/>
      <c r="B32" s="104" t="s">
        <v>181</v>
      </c>
      <c r="C32" s="118" t="s">
        <v>21</v>
      </c>
      <c r="D32" s="6"/>
      <c r="E32" s="7"/>
      <c r="F32" s="6"/>
      <c r="G32" s="7"/>
      <c r="H32" s="6"/>
      <c r="I32" s="7"/>
      <c r="J32" s="26">
        <v>19</v>
      </c>
      <c r="K32" s="52">
        <v>0</v>
      </c>
      <c r="L32" s="26">
        <v>16</v>
      </c>
      <c r="M32" s="52">
        <v>0</v>
      </c>
      <c r="N32" s="26">
        <v>17</v>
      </c>
      <c r="O32" s="52">
        <v>0</v>
      </c>
      <c r="P32" s="28">
        <v>16</v>
      </c>
      <c r="Q32" s="62">
        <v>2</v>
      </c>
    </row>
    <row r="33" spans="1:17" ht="19.5" thickBot="1" x14ac:dyDescent="0.2">
      <c r="A33" s="124"/>
      <c r="B33" s="105"/>
      <c r="C33" s="119"/>
      <c r="D33" s="100"/>
      <c r="E33" s="97"/>
      <c r="F33" s="102"/>
      <c r="G33" s="103"/>
      <c r="H33" s="102"/>
      <c r="I33" s="103"/>
      <c r="J33" s="19"/>
      <c r="K33" s="53">
        <f>K32/J32</f>
        <v>0</v>
      </c>
      <c r="L33" s="47">
        <f>L32/J32</f>
        <v>0.84210526315789469</v>
      </c>
      <c r="M33" s="53">
        <f>M32/L32</f>
        <v>0</v>
      </c>
      <c r="N33" s="47">
        <f>N32/L32</f>
        <v>1.0625</v>
      </c>
      <c r="O33" s="53">
        <f>O32/N32</f>
        <v>0</v>
      </c>
      <c r="P33" s="47">
        <f>P32/N32</f>
        <v>0.94117647058823528</v>
      </c>
      <c r="Q33" s="63">
        <f>Q32/P32</f>
        <v>0.125</v>
      </c>
    </row>
    <row r="40" spans="1:17" ht="19.5" customHeight="1" x14ac:dyDescent="0.15"/>
    <row r="46" spans="1:17" ht="19.5" customHeight="1" x14ac:dyDescent="0.15"/>
    <row r="56" ht="19.5" customHeight="1" x14ac:dyDescent="0.15"/>
    <row r="60" ht="19.5" customHeight="1" x14ac:dyDescent="0.15"/>
    <row r="64" ht="18.75" customHeight="1" x14ac:dyDescent="0.15"/>
    <row r="66" ht="18.75" customHeight="1" x14ac:dyDescent="0.15"/>
    <row r="68" ht="18.75" customHeight="1" x14ac:dyDescent="0.15"/>
    <row r="70" ht="19.5" customHeight="1" x14ac:dyDescent="0.15"/>
    <row r="72" ht="18.75" customHeight="1" x14ac:dyDescent="0.15"/>
    <row r="74" ht="18.75" customHeight="1" x14ac:dyDescent="0.15"/>
    <row r="76" ht="18.75" customHeight="1" x14ac:dyDescent="0.15"/>
    <row r="78" ht="18.75" customHeight="1" x14ac:dyDescent="0.15"/>
    <row r="80" ht="18.75" customHeight="1" x14ac:dyDescent="0.15"/>
    <row r="82" ht="18.75" customHeight="1" x14ac:dyDescent="0.15"/>
    <row r="84" ht="18.75" customHeight="1" x14ac:dyDescent="0.15"/>
    <row r="86" ht="18.75" customHeight="1" x14ac:dyDescent="0.15"/>
    <row r="88" ht="18.75" customHeight="1" x14ac:dyDescent="0.15"/>
    <row r="90" ht="18.75" customHeight="1" x14ac:dyDescent="0.15"/>
  </sheetData>
  <mergeCells count="60">
    <mergeCell ref="B16:B17"/>
    <mergeCell ref="C16:C17"/>
    <mergeCell ref="D17:E17"/>
    <mergeCell ref="A14:A17"/>
    <mergeCell ref="B14:B15"/>
    <mergeCell ref="C14:C15"/>
    <mergeCell ref="D15:E15"/>
    <mergeCell ref="H27:I27"/>
    <mergeCell ref="A26:A33"/>
    <mergeCell ref="A24:A25"/>
    <mergeCell ref="B24:B25"/>
    <mergeCell ref="C24:C25"/>
    <mergeCell ref="F25:G25"/>
    <mergeCell ref="H25:I25"/>
    <mergeCell ref="F29:G29"/>
    <mergeCell ref="H29:I29"/>
    <mergeCell ref="C28:C29"/>
    <mergeCell ref="D29:E29"/>
    <mergeCell ref="B28:B29"/>
    <mergeCell ref="B26:B27"/>
    <mergeCell ref="C26:C27"/>
    <mergeCell ref="D27:E27"/>
    <mergeCell ref="F27:G27"/>
    <mergeCell ref="B30:B31"/>
    <mergeCell ref="C30:C31"/>
    <mergeCell ref="D31:E31"/>
    <mergeCell ref="F31:G31"/>
    <mergeCell ref="H31:I31"/>
    <mergeCell ref="D33:E33"/>
    <mergeCell ref="F33:G33"/>
    <mergeCell ref="H33:I33"/>
    <mergeCell ref="B32:B33"/>
    <mergeCell ref="C32:C33"/>
    <mergeCell ref="B20:B21"/>
    <mergeCell ref="C20:C21"/>
    <mergeCell ref="N25:O25"/>
    <mergeCell ref="A22:A23"/>
    <mergeCell ref="B22:B23"/>
    <mergeCell ref="C22:C23"/>
    <mergeCell ref="D23:E23"/>
    <mergeCell ref="A18:A21"/>
    <mergeCell ref="B18:B19"/>
    <mergeCell ref="C18:C19"/>
    <mergeCell ref="B12:B13"/>
    <mergeCell ref="C12:C13"/>
    <mergeCell ref="B10:B11"/>
    <mergeCell ref="C10:C11"/>
    <mergeCell ref="A10:A13"/>
    <mergeCell ref="A6:A9"/>
    <mergeCell ref="B6:B7"/>
    <mergeCell ref="C6:C7"/>
    <mergeCell ref="B8:B9"/>
    <mergeCell ref="C8:C9"/>
    <mergeCell ref="P3:Q3"/>
    <mergeCell ref="D3:E3"/>
    <mergeCell ref="F3:G3"/>
    <mergeCell ref="H3:I3"/>
    <mergeCell ref="J3:K3"/>
    <mergeCell ref="L3:M3"/>
    <mergeCell ref="N3:O3"/>
  </mergeCells>
  <phoneticPr fontId="2"/>
  <conditionalFormatting sqref="L33 N33 P33 P31 N31 L31 L29 N29 P29 P27 N27 L27 L25 P25 P23 N23 L23 J23 H23 F21 H21 J21 L21 N21 P21 P19 N19 L19 J19 H19 F19 H17 J17 L17 N17 P17 P15 N15 L15 J15 H15 P13 P11 N13 N11 L13 L11 J13 J11 H13 H11 H9 J9 L9 N9 P9 P7 N7 L7 J7 H7 F13 F11 F9 F7">
    <cfRule type="cellIs" dxfId="21" priority="1" operator="lessThan">
      <formula>1</formula>
    </cfRule>
    <cfRule type="cellIs" dxfId="20" priority="2" operator="greaterThanOrEqual">
      <formula>1</formula>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5DE7-FC83-4644-9253-92B8EF48709B}">
  <dimension ref="A2:Q136"/>
  <sheetViews>
    <sheetView showGridLines="0" topLeftCell="A75" zoomScale="80" zoomScaleNormal="80" workbookViewId="0">
      <selection activeCell="P49" sqref="P49"/>
    </sheetView>
  </sheetViews>
  <sheetFormatPr defaultRowHeight="18.75" x14ac:dyDescent="0.15"/>
  <cols>
    <col min="1" max="1" width="27.875" style="1" customWidth="1"/>
    <col min="2" max="2" width="29.125" style="2" customWidth="1"/>
    <col min="3" max="3" width="8.625" style="2" customWidth="1"/>
    <col min="4" max="4" width="8.5" style="1" bestFit="1" customWidth="1"/>
    <col min="5" max="5" width="7.625" style="1" bestFit="1" customWidth="1"/>
    <col min="6" max="6" width="9.875" style="1" bestFit="1" customWidth="1"/>
    <col min="7" max="7" width="7.625" style="1" bestFit="1" customWidth="1"/>
    <col min="8" max="8" width="9.875" style="1" bestFit="1" customWidth="1"/>
    <col min="9" max="9" width="7.625" style="1" bestFit="1" customWidth="1"/>
    <col min="10" max="10" width="9.875" style="1" bestFit="1" customWidth="1"/>
    <col min="11" max="11" width="7.625" style="1" bestFit="1" customWidth="1"/>
    <col min="12" max="12" width="8.625" style="1" bestFit="1" customWidth="1"/>
    <col min="13" max="13" width="7.625" style="1" bestFit="1" customWidth="1"/>
    <col min="14" max="14" width="9.875" style="1" bestFit="1" customWidth="1"/>
    <col min="15" max="15" width="7.625" style="1" bestFit="1" customWidth="1"/>
    <col min="16" max="16" width="9.625" style="1" bestFit="1" customWidth="1"/>
    <col min="17" max="17" width="9.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18.75" customHeight="1" x14ac:dyDescent="0.15">
      <c r="A6" s="139" t="s">
        <v>0</v>
      </c>
      <c r="B6" s="141" t="s">
        <v>93</v>
      </c>
      <c r="C6" s="142" t="s">
        <v>14</v>
      </c>
      <c r="D6" s="25">
        <v>348</v>
      </c>
      <c r="E6" s="50">
        <v>1</v>
      </c>
      <c r="F6" s="25">
        <v>355</v>
      </c>
      <c r="G6" s="50">
        <v>1</v>
      </c>
      <c r="H6" s="25">
        <v>408</v>
      </c>
      <c r="I6" s="50">
        <v>4</v>
      </c>
      <c r="J6" s="25">
        <v>428</v>
      </c>
      <c r="K6" s="50">
        <v>2</v>
      </c>
      <c r="L6" s="25">
        <v>388</v>
      </c>
      <c r="M6" s="50">
        <v>0</v>
      </c>
      <c r="N6" s="25">
        <v>336</v>
      </c>
      <c r="O6" s="50">
        <v>1</v>
      </c>
      <c r="P6" s="30">
        <v>291</v>
      </c>
      <c r="Q6" s="60">
        <v>3</v>
      </c>
    </row>
    <row r="7" spans="1:17" ht="19.5" thickBot="1" x14ac:dyDescent="0.2">
      <c r="A7" s="131"/>
      <c r="B7" s="112"/>
      <c r="C7" s="143"/>
      <c r="D7" s="24"/>
      <c r="E7" s="51">
        <f>E6/D6</f>
        <v>2.8735632183908046E-3</v>
      </c>
      <c r="F7" s="16">
        <f>F6/D6</f>
        <v>1.0201149425287357</v>
      </c>
      <c r="G7" s="57">
        <f>G6/F6</f>
        <v>2.8169014084507044E-3</v>
      </c>
      <c r="H7" s="16">
        <f>H6/F6</f>
        <v>1.1492957746478873</v>
      </c>
      <c r="I7" s="57">
        <f>I6/H6</f>
        <v>9.8039215686274508E-3</v>
      </c>
      <c r="J7" s="16">
        <f>J6/H6</f>
        <v>1.0490196078431373</v>
      </c>
      <c r="K7" s="57">
        <f>K6/J6</f>
        <v>4.6728971962616819E-3</v>
      </c>
      <c r="L7" s="16">
        <f>L6/J6</f>
        <v>0.90654205607476634</v>
      </c>
      <c r="M7" s="57">
        <f>M6/L6</f>
        <v>0</v>
      </c>
      <c r="N7" s="16">
        <f>N6/L6</f>
        <v>0.865979381443299</v>
      </c>
      <c r="O7" s="57">
        <f>O6/N6</f>
        <v>2.976190476190476E-3</v>
      </c>
      <c r="P7" s="16">
        <f>P6/N6</f>
        <v>0.8660714285714286</v>
      </c>
      <c r="Q7" s="57">
        <f>Q6/P6</f>
        <v>1.0309278350515464E-2</v>
      </c>
    </row>
    <row r="8" spans="1:17" ht="22.5" x14ac:dyDescent="0.15">
      <c r="A8" s="131"/>
      <c r="B8" s="111" t="s">
        <v>22</v>
      </c>
      <c r="C8" s="142" t="s">
        <v>21</v>
      </c>
      <c r="D8" s="6"/>
      <c r="E8" s="7"/>
      <c r="F8" s="25">
        <v>104</v>
      </c>
      <c r="G8" s="50">
        <v>15</v>
      </c>
      <c r="H8" s="25">
        <v>186</v>
      </c>
      <c r="I8" s="50">
        <v>19</v>
      </c>
      <c r="J8" s="25">
        <v>145</v>
      </c>
      <c r="K8" s="50">
        <v>8</v>
      </c>
      <c r="L8" s="25">
        <v>125</v>
      </c>
      <c r="M8" s="50">
        <v>17</v>
      </c>
      <c r="N8" s="25">
        <v>117</v>
      </c>
      <c r="O8" s="50">
        <v>36</v>
      </c>
      <c r="P8" s="31">
        <v>107</v>
      </c>
      <c r="Q8" s="61">
        <v>58</v>
      </c>
    </row>
    <row r="9" spans="1:17" ht="19.5" thickBot="1" x14ac:dyDescent="0.2">
      <c r="A9" s="131"/>
      <c r="B9" s="112"/>
      <c r="C9" s="143"/>
      <c r="D9" s="102"/>
      <c r="E9" s="103"/>
      <c r="F9" s="85"/>
      <c r="G9" s="51">
        <f>G8/F8</f>
        <v>0.14423076923076922</v>
      </c>
      <c r="H9" s="16">
        <f>H8/F8</f>
        <v>1.7884615384615385</v>
      </c>
      <c r="I9" s="57">
        <f>I8/H8</f>
        <v>0.10215053763440861</v>
      </c>
      <c r="J9" s="16">
        <f>J8/H8</f>
        <v>0.77956989247311825</v>
      </c>
      <c r="K9" s="57">
        <f>K8/J8</f>
        <v>5.5172413793103448E-2</v>
      </c>
      <c r="L9" s="16">
        <f>L8/J8</f>
        <v>0.86206896551724133</v>
      </c>
      <c r="M9" s="57">
        <f>M8/L8</f>
        <v>0.13600000000000001</v>
      </c>
      <c r="N9" s="16">
        <f>N8/L8</f>
        <v>0.93600000000000005</v>
      </c>
      <c r="O9" s="57">
        <f>O8/N8</f>
        <v>0.30769230769230771</v>
      </c>
      <c r="P9" s="16">
        <f>P8/N8</f>
        <v>0.9145299145299145</v>
      </c>
      <c r="Q9" s="57">
        <f>Q8/P8</f>
        <v>0.54205607476635509</v>
      </c>
    </row>
    <row r="10" spans="1:17" ht="22.5" x14ac:dyDescent="0.15">
      <c r="A10" s="131"/>
      <c r="B10" s="111" t="s">
        <v>24</v>
      </c>
      <c r="C10" s="142" t="s">
        <v>21</v>
      </c>
      <c r="D10" s="25">
        <v>489</v>
      </c>
      <c r="E10" s="50">
        <v>59</v>
      </c>
      <c r="F10" s="25">
        <v>457</v>
      </c>
      <c r="G10" s="50">
        <v>61</v>
      </c>
      <c r="H10" s="25">
        <v>458</v>
      </c>
      <c r="I10" s="50">
        <v>52</v>
      </c>
      <c r="J10" s="25">
        <v>432</v>
      </c>
      <c r="K10" s="50">
        <v>35</v>
      </c>
      <c r="L10" s="25">
        <v>372</v>
      </c>
      <c r="M10" s="50">
        <v>34</v>
      </c>
      <c r="N10" s="25">
        <v>314</v>
      </c>
      <c r="O10" s="50">
        <v>61</v>
      </c>
      <c r="P10" s="31">
        <v>280</v>
      </c>
      <c r="Q10" s="61">
        <v>105</v>
      </c>
    </row>
    <row r="11" spans="1:17" ht="19.5" thickBot="1" x14ac:dyDescent="0.2">
      <c r="A11" s="131"/>
      <c r="B11" s="112"/>
      <c r="C11" s="143"/>
      <c r="D11" s="24"/>
      <c r="E11" s="51">
        <f>E10/D10</f>
        <v>0.12065439672801637</v>
      </c>
      <c r="F11" s="16">
        <f>F10/D10</f>
        <v>0.93456032719836402</v>
      </c>
      <c r="G11" s="57">
        <f>G10/F10</f>
        <v>0.13347921225382933</v>
      </c>
      <c r="H11" s="16">
        <f>H10/F10</f>
        <v>1.0021881838074398</v>
      </c>
      <c r="I11" s="57">
        <f>I10/H10</f>
        <v>0.11353711790393013</v>
      </c>
      <c r="J11" s="16">
        <f>J10/H10</f>
        <v>0.94323144104803491</v>
      </c>
      <c r="K11" s="57">
        <f>K10/J10</f>
        <v>8.1018518518518517E-2</v>
      </c>
      <c r="L11" s="16">
        <f>L10/J10</f>
        <v>0.86111111111111116</v>
      </c>
      <c r="M11" s="57">
        <f>M10/L10</f>
        <v>9.1397849462365593E-2</v>
      </c>
      <c r="N11" s="16">
        <f>N10/L10</f>
        <v>0.84408602150537637</v>
      </c>
      <c r="O11" s="57">
        <f>O10/N10</f>
        <v>0.19426751592356689</v>
      </c>
      <c r="P11" s="16">
        <f>P10/N10</f>
        <v>0.89171974522292996</v>
      </c>
      <c r="Q11" s="57">
        <f>Q10/P10</f>
        <v>0.375</v>
      </c>
    </row>
    <row r="12" spans="1:17" s="5" customFormat="1" ht="18.75" customHeight="1" x14ac:dyDescent="0.15">
      <c r="A12" s="131"/>
      <c r="B12" s="111" t="s">
        <v>33</v>
      </c>
      <c r="C12" s="142" t="s">
        <v>21</v>
      </c>
      <c r="D12" s="25">
        <v>107</v>
      </c>
      <c r="E12" s="50">
        <v>7</v>
      </c>
      <c r="F12" s="25">
        <v>115</v>
      </c>
      <c r="G12" s="50">
        <v>12</v>
      </c>
      <c r="H12" s="25">
        <v>111</v>
      </c>
      <c r="I12" s="50">
        <v>9</v>
      </c>
      <c r="J12" s="25">
        <v>99</v>
      </c>
      <c r="K12" s="50">
        <v>5</v>
      </c>
      <c r="L12" s="25">
        <v>88</v>
      </c>
      <c r="M12" s="50">
        <v>4</v>
      </c>
      <c r="N12" s="25">
        <v>71</v>
      </c>
      <c r="O12" s="50">
        <v>5</v>
      </c>
      <c r="P12" s="31">
        <v>56</v>
      </c>
      <c r="Q12" s="61">
        <v>14</v>
      </c>
    </row>
    <row r="13" spans="1:17" ht="19.5" thickBot="1" x14ac:dyDescent="0.2">
      <c r="A13" s="131"/>
      <c r="B13" s="112"/>
      <c r="C13" s="143"/>
      <c r="D13" s="24"/>
      <c r="E13" s="51">
        <f>E12/D12</f>
        <v>6.5420560747663545E-2</v>
      </c>
      <c r="F13" s="16">
        <f>F12/D12</f>
        <v>1.0747663551401869</v>
      </c>
      <c r="G13" s="57">
        <f>G12/F12</f>
        <v>0.10434782608695652</v>
      </c>
      <c r="H13" s="16">
        <f>H12/F12</f>
        <v>0.9652173913043478</v>
      </c>
      <c r="I13" s="57">
        <f>I12/H12</f>
        <v>8.1081081081081086E-2</v>
      </c>
      <c r="J13" s="16">
        <f>J12/H12</f>
        <v>0.89189189189189189</v>
      </c>
      <c r="K13" s="57">
        <f>K12/J12</f>
        <v>5.0505050505050504E-2</v>
      </c>
      <c r="L13" s="16">
        <f>L12/J12</f>
        <v>0.88888888888888884</v>
      </c>
      <c r="M13" s="57">
        <f>M12/L12</f>
        <v>4.5454545454545456E-2</v>
      </c>
      <c r="N13" s="16">
        <f>N12/L12</f>
        <v>0.80681818181818177</v>
      </c>
      <c r="O13" s="57">
        <f>O12/N12</f>
        <v>7.0422535211267609E-2</v>
      </c>
      <c r="P13" s="16">
        <f>P12/N12</f>
        <v>0.78873239436619713</v>
      </c>
      <c r="Q13" s="57">
        <f>Q12/P12</f>
        <v>0.25</v>
      </c>
    </row>
    <row r="14" spans="1:17" ht="18.75" customHeight="1" x14ac:dyDescent="0.15">
      <c r="A14" s="145" t="s">
        <v>1</v>
      </c>
      <c r="B14" s="141" t="s">
        <v>93</v>
      </c>
      <c r="C14" s="142" t="s">
        <v>14</v>
      </c>
      <c r="D14" s="25">
        <v>212</v>
      </c>
      <c r="E14" s="50">
        <v>2</v>
      </c>
      <c r="F14" s="25">
        <v>238</v>
      </c>
      <c r="G14" s="50">
        <v>2</v>
      </c>
      <c r="H14" s="25">
        <v>270</v>
      </c>
      <c r="I14" s="50">
        <v>3</v>
      </c>
      <c r="J14" s="25">
        <v>307</v>
      </c>
      <c r="K14" s="50">
        <v>3</v>
      </c>
      <c r="L14" s="25">
        <v>290</v>
      </c>
      <c r="M14" s="50">
        <v>2</v>
      </c>
      <c r="N14" s="25">
        <v>257</v>
      </c>
      <c r="O14" s="50">
        <v>1</v>
      </c>
      <c r="P14" s="31">
        <v>243</v>
      </c>
      <c r="Q14" s="61">
        <v>2</v>
      </c>
    </row>
    <row r="15" spans="1:17" ht="19.5" thickBot="1" x14ac:dyDescent="0.2">
      <c r="A15" s="146"/>
      <c r="B15" s="112"/>
      <c r="C15" s="143"/>
      <c r="D15" s="24"/>
      <c r="E15" s="51">
        <f>E14/D14</f>
        <v>9.433962264150943E-3</v>
      </c>
      <c r="F15" s="16">
        <f>F14/D14</f>
        <v>1.1226415094339623</v>
      </c>
      <c r="G15" s="57">
        <f>G14/F14</f>
        <v>8.4033613445378148E-3</v>
      </c>
      <c r="H15" s="16">
        <f>H14/F14</f>
        <v>1.134453781512605</v>
      </c>
      <c r="I15" s="57">
        <f>I14/H14</f>
        <v>1.1111111111111112E-2</v>
      </c>
      <c r="J15" s="16">
        <f>J14/H14</f>
        <v>1.1370370370370371</v>
      </c>
      <c r="K15" s="57">
        <f>K14/J14</f>
        <v>9.7719869706840382E-3</v>
      </c>
      <c r="L15" s="16">
        <f>L14/J14</f>
        <v>0.94462540716612375</v>
      </c>
      <c r="M15" s="57">
        <f>M14/L14</f>
        <v>6.8965517241379309E-3</v>
      </c>
      <c r="N15" s="16">
        <f>N14/L14</f>
        <v>0.88620689655172413</v>
      </c>
      <c r="O15" s="57">
        <f>O14/N14</f>
        <v>3.8910505836575876E-3</v>
      </c>
      <c r="P15" s="16">
        <f>P14/N14</f>
        <v>0.94552529182879375</v>
      </c>
      <c r="Q15" s="57">
        <f>Q14/P14</f>
        <v>8.23045267489712E-3</v>
      </c>
    </row>
    <row r="16" spans="1:17" ht="22.5" x14ac:dyDescent="0.15">
      <c r="A16" s="146"/>
      <c r="B16" s="111" t="s">
        <v>22</v>
      </c>
      <c r="C16" s="142" t="s">
        <v>21</v>
      </c>
      <c r="D16" s="6"/>
      <c r="E16" s="7"/>
      <c r="F16" s="25">
        <v>96</v>
      </c>
      <c r="G16" s="50">
        <v>6</v>
      </c>
      <c r="H16" s="25">
        <v>186</v>
      </c>
      <c r="I16" s="50">
        <v>12</v>
      </c>
      <c r="J16" s="25">
        <v>169</v>
      </c>
      <c r="K16" s="50">
        <v>10</v>
      </c>
      <c r="L16" s="25">
        <v>102</v>
      </c>
      <c r="M16" s="50">
        <v>4</v>
      </c>
      <c r="N16" s="25">
        <v>74</v>
      </c>
      <c r="O16" s="50">
        <v>8</v>
      </c>
      <c r="P16" s="31">
        <v>91</v>
      </c>
      <c r="Q16" s="61">
        <v>25</v>
      </c>
    </row>
    <row r="17" spans="1:17" ht="19.5" thickBot="1" x14ac:dyDescent="0.2">
      <c r="A17" s="146"/>
      <c r="B17" s="112"/>
      <c r="C17" s="143"/>
      <c r="D17" s="102"/>
      <c r="E17" s="103"/>
      <c r="F17" s="85"/>
      <c r="G17" s="51">
        <f>G16/F16</f>
        <v>6.25E-2</v>
      </c>
      <c r="H17" s="16">
        <f>H16/F16</f>
        <v>1.9375</v>
      </c>
      <c r="I17" s="57">
        <f>I16/H16</f>
        <v>6.4516129032258063E-2</v>
      </c>
      <c r="J17" s="16">
        <f>J16/H16</f>
        <v>0.90860215053763438</v>
      </c>
      <c r="K17" s="57">
        <f>K16/J16</f>
        <v>5.9171597633136092E-2</v>
      </c>
      <c r="L17" s="16">
        <f>L16/J16</f>
        <v>0.60355029585798814</v>
      </c>
      <c r="M17" s="57">
        <f>M16/L16</f>
        <v>3.9215686274509803E-2</v>
      </c>
      <c r="N17" s="16">
        <f>N16/L16</f>
        <v>0.72549019607843135</v>
      </c>
      <c r="O17" s="57">
        <f>O16/N16</f>
        <v>0.10810810810810811</v>
      </c>
      <c r="P17" s="16">
        <f>P16/N16</f>
        <v>1.2297297297297298</v>
      </c>
      <c r="Q17" s="57">
        <f>Q16/P16</f>
        <v>0.27472527472527475</v>
      </c>
    </row>
    <row r="18" spans="1:17" ht="22.5" x14ac:dyDescent="0.15">
      <c r="A18" s="146"/>
      <c r="B18" s="111" t="s">
        <v>24</v>
      </c>
      <c r="C18" s="142" t="s">
        <v>21</v>
      </c>
      <c r="D18" s="25">
        <v>460</v>
      </c>
      <c r="E18" s="50">
        <v>19</v>
      </c>
      <c r="F18" s="25">
        <v>456</v>
      </c>
      <c r="G18" s="50">
        <v>17</v>
      </c>
      <c r="H18" s="25">
        <v>409</v>
      </c>
      <c r="I18" s="50">
        <v>13</v>
      </c>
      <c r="J18" s="25">
        <v>380</v>
      </c>
      <c r="K18" s="50">
        <v>11</v>
      </c>
      <c r="L18" s="25">
        <v>324</v>
      </c>
      <c r="M18" s="50">
        <v>23</v>
      </c>
      <c r="N18" s="25">
        <v>237</v>
      </c>
      <c r="O18" s="50">
        <v>33</v>
      </c>
      <c r="P18" s="31">
        <v>189</v>
      </c>
      <c r="Q18" s="61">
        <v>43</v>
      </c>
    </row>
    <row r="19" spans="1:17" ht="19.5" thickBot="1" x14ac:dyDescent="0.2">
      <c r="A19" s="146"/>
      <c r="B19" s="112"/>
      <c r="C19" s="143"/>
      <c r="D19" s="24"/>
      <c r="E19" s="51">
        <f>E18/D18</f>
        <v>4.1304347826086954E-2</v>
      </c>
      <c r="F19" s="16">
        <f>F18/D18</f>
        <v>0.99130434782608701</v>
      </c>
      <c r="G19" s="57">
        <f>G18/F18</f>
        <v>3.7280701754385963E-2</v>
      </c>
      <c r="H19" s="16">
        <f>H18/F18</f>
        <v>0.89692982456140347</v>
      </c>
      <c r="I19" s="57">
        <f>I18/H18</f>
        <v>3.1784841075794622E-2</v>
      </c>
      <c r="J19" s="16">
        <f>J18/H18</f>
        <v>0.92909535452322733</v>
      </c>
      <c r="K19" s="57">
        <f>K18/J18</f>
        <v>2.8947368421052631E-2</v>
      </c>
      <c r="L19" s="16">
        <f>L18/J18</f>
        <v>0.85263157894736841</v>
      </c>
      <c r="M19" s="57">
        <f>M18/L18</f>
        <v>7.098765432098765E-2</v>
      </c>
      <c r="N19" s="16">
        <f>N18/L18</f>
        <v>0.73148148148148151</v>
      </c>
      <c r="O19" s="57">
        <f>O18/N18</f>
        <v>0.13924050632911392</v>
      </c>
      <c r="P19" s="16">
        <f>P18/N18</f>
        <v>0.79746835443037978</v>
      </c>
      <c r="Q19" s="57">
        <f>Q18/P18</f>
        <v>0.2275132275132275</v>
      </c>
    </row>
    <row r="20" spans="1:17" ht="22.5" x14ac:dyDescent="0.15">
      <c r="A20" s="146"/>
      <c r="B20" s="111" t="s">
        <v>33</v>
      </c>
      <c r="C20" s="142" t="s">
        <v>21</v>
      </c>
      <c r="D20" s="25">
        <v>118</v>
      </c>
      <c r="E20" s="50">
        <v>3</v>
      </c>
      <c r="F20" s="25">
        <v>142</v>
      </c>
      <c r="G20" s="50">
        <v>5</v>
      </c>
      <c r="H20" s="25">
        <v>117</v>
      </c>
      <c r="I20" s="50">
        <v>5</v>
      </c>
      <c r="J20" s="25">
        <v>83</v>
      </c>
      <c r="K20" s="50">
        <v>2</v>
      </c>
      <c r="L20" s="25">
        <v>66</v>
      </c>
      <c r="M20" s="50">
        <v>1</v>
      </c>
      <c r="N20" s="25">
        <v>54</v>
      </c>
      <c r="O20" s="50">
        <v>2</v>
      </c>
      <c r="P20" s="31">
        <v>54</v>
      </c>
      <c r="Q20" s="61">
        <v>5</v>
      </c>
    </row>
    <row r="21" spans="1:17" ht="19.5" thickBot="1" x14ac:dyDescent="0.2">
      <c r="A21" s="146"/>
      <c r="B21" s="112"/>
      <c r="C21" s="143"/>
      <c r="D21" s="24"/>
      <c r="E21" s="51">
        <f>E20/D20</f>
        <v>2.5423728813559324E-2</v>
      </c>
      <c r="F21" s="16">
        <f>F20/D20</f>
        <v>1.2033898305084745</v>
      </c>
      <c r="G21" s="57">
        <f>G20/F20</f>
        <v>3.5211267605633804E-2</v>
      </c>
      <c r="H21" s="16">
        <f>H20/F20</f>
        <v>0.823943661971831</v>
      </c>
      <c r="I21" s="57">
        <f>I20/H20</f>
        <v>4.2735042735042736E-2</v>
      </c>
      <c r="J21" s="16">
        <f>J20/H20</f>
        <v>0.70940170940170943</v>
      </c>
      <c r="K21" s="57">
        <f>K20/J20</f>
        <v>2.4096385542168676E-2</v>
      </c>
      <c r="L21" s="16">
        <f>L20/J20</f>
        <v>0.79518072289156627</v>
      </c>
      <c r="M21" s="57">
        <f>M20/L20</f>
        <v>1.5151515151515152E-2</v>
      </c>
      <c r="N21" s="16">
        <f>N20/L20</f>
        <v>0.81818181818181823</v>
      </c>
      <c r="O21" s="57">
        <f>O20/N20</f>
        <v>3.7037037037037035E-2</v>
      </c>
      <c r="P21" s="16">
        <f>P20/N20</f>
        <v>1</v>
      </c>
      <c r="Q21" s="57">
        <f>Q20/P20</f>
        <v>9.2592592592592587E-2</v>
      </c>
    </row>
    <row r="22" spans="1:17" ht="18.75" customHeight="1" x14ac:dyDescent="0.15">
      <c r="A22" s="104" t="s">
        <v>76</v>
      </c>
      <c r="B22" s="108" t="s">
        <v>16</v>
      </c>
      <c r="C22" s="118" t="s">
        <v>14</v>
      </c>
      <c r="D22" s="26">
        <v>327</v>
      </c>
      <c r="E22" s="52">
        <v>55</v>
      </c>
      <c r="F22" s="26">
        <v>349</v>
      </c>
      <c r="G22" s="52">
        <v>45</v>
      </c>
      <c r="H22" s="26">
        <v>387</v>
      </c>
      <c r="I22" s="52">
        <v>37</v>
      </c>
      <c r="J22" s="26">
        <v>379</v>
      </c>
      <c r="K22" s="52">
        <v>28</v>
      </c>
      <c r="L22" s="26">
        <v>351</v>
      </c>
      <c r="M22" s="52">
        <v>19</v>
      </c>
      <c r="N22" s="26">
        <v>331</v>
      </c>
      <c r="O22" s="52">
        <v>30</v>
      </c>
      <c r="P22" s="28">
        <v>311</v>
      </c>
      <c r="Q22" s="62">
        <v>50</v>
      </c>
    </row>
    <row r="23" spans="1:17" ht="19.5" thickBot="1" x14ac:dyDescent="0.2">
      <c r="A23" s="117"/>
      <c r="B23" s="107"/>
      <c r="C23" s="119"/>
      <c r="D23" s="19"/>
      <c r="E23" s="53">
        <f>E22/D22</f>
        <v>0.16819571865443425</v>
      </c>
      <c r="F23" s="47">
        <f>F22/D22</f>
        <v>1.0672782874617737</v>
      </c>
      <c r="G23" s="53">
        <f>G22/F22</f>
        <v>0.12893982808022922</v>
      </c>
      <c r="H23" s="47">
        <f>H22/F22</f>
        <v>1.1088825214899714</v>
      </c>
      <c r="I23" s="53">
        <f>I22/H22</f>
        <v>9.5607235142118857E-2</v>
      </c>
      <c r="J23" s="47">
        <f>J22/H22</f>
        <v>0.97932816537467704</v>
      </c>
      <c r="K23" s="53">
        <f>K22/J22</f>
        <v>7.3878627968337732E-2</v>
      </c>
      <c r="L23" s="47">
        <f>L22/J22</f>
        <v>0.92612137203166223</v>
      </c>
      <c r="M23" s="53">
        <f>M22/L22</f>
        <v>5.4131054131054131E-2</v>
      </c>
      <c r="N23" s="47">
        <f>N22/L22</f>
        <v>0.94301994301994307</v>
      </c>
      <c r="O23" s="53">
        <f>O22/N22</f>
        <v>9.0634441087613288E-2</v>
      </c>
      <c r="P23" s="47">
        <f>P22/N22</f>
        <v>0.93957703927492442</v>
      </c>
      <c r="Q23" s="53">
        <f>Q22/P22</f>
        <v>0.16077170418006431</v>
      </c>
    </row>
    <row r="24" spans="1:17" ht="22.5" x14ac:dyDescent="0.15">
      <c r="A24" s="117"/>
      <c r="B24" s="106" t="s">
        <v>20</v>
      </c>
      <c r="C24" s="118" t="s">
        <v>21</v>
      </c>
      <c r="D24" s="26">
        <v>122</v>
      </c>
      <c r="E24" s="52">
        <v>15</v>
      </c>
      <c r="F24" s="26">
        <v>136</v>
      </c>
      <c r="G24" s="52">
        <v>43</v>
      </c>
      <c r="H24" s="26">
        <v>152</v>
      </c>
      <c r="I24" s="52">
        <v>34</v>
      </c>
      <c r="J24" s="26">
        <v>138</v>
      </c>
      <c r="K24" s="52">
        <v>27</v>
      </c>
      <c r="L24" s="26">
        <v>126</v>
      </c>
      <c r="M24" s="52">
        <v>30</v>
      </c>
      <c r="N24" s="26">
        <v>116</v>
      </c>
      <c r="O24" s="52">
        <v>44</v>
      </c>
      <c r="P24" s="28">
        <v>140</v>
      </c>
      <c r="Q24" s="62">
        <v>94</v>
      </c>
    </row>
    <row r="25" spans="1:17" ht="19.5" thickBot="1" x14ac:dyDescent="0.2">
      <c r="A25" s="105"/>
      <c r="B25" s="107"/>
      <c r="C25" s="119"/>
      <c r="D25" s="19"/>
      <c r="E25" s="53">
        <f>E24/D24</f>
        <v>0.12295081967213115</v>
      </c>
      <c r="F25" s="47">
        <f>F24/D24</f>
        <v>1.1147540983606556</v>
      </c>
      <c r="G25" s="53">
        <f>G24/F24</f>
        <v>0.31617647058823528</v>
      </c>
      <c r="H25" s="47">
        <f>H24/F24</f>
        <v>1.1176470588235294</v>
      </c>
      <c r="I25" s="53">
        <f>I24/H24</f>
        <v>0.22368421052631579</v>
      </c>
      <c r="J25" s="47">
        <f>J24/H24</f>
        <v>0.90789473684210531</v>
      </c>
      <c r="K25" s="53">
        <f>K24/J24</f>
        <v>0.19565217391304349</v>
      </c>
      <c r="L25" s="47">
        <f>L24/J24</f>
        <v>0.91304347826086951</v>
      </c>
      <c r="M25" s="53">
        <f>M24/L24</f>
        <v>0.23809523809523808</v>
      </c>
      <c r="N25" s="47">
        <f>N24/L24</f>
        <v>0.92063492063492058</v>
      </c>
      <c r="O25" s="53">
        <f>O24/N24</f>
        <v>0.37931034482758619</v>
      </c>
      <c r="P25" s="47">
        <f>P24/N24</f>
        <v>1.2068965517241379</v>
      </c>
      <c r="Q25" s="63">
        <f>Q24/P24</f>
        <v>0.67142857142857137</v>
      </c>
    </row>
    <row r="26" spans="1:17" ht="18.75" customHeight="1" x14ac:dyDescent="0.15">
      <c r="A26" s="129" t="s">
        <v>77</v>
      </c>
      <c r="B26" s="106" t="s">
        <v>32</v>
      </c>
      <c r="C26" s="118" t="s">
        <v>38</v>
      </c>
      <c r="D26" s="6"/>
      <c r="E26" s="7"/>
      <c r="F26" s="6"/>
      <c r="G26" s="7"/>
      <c r="H26" s="26">
        <v>123</v>
      </c>
      <c r="I26" s="52">
        <v>11</v>
      </c>
      <c r="J26" s="26">
        <v>126</v>
      </c>
      <c r="K26" s="52">
        <v>8</v>
      </c>
      <c r="L26" s="26">
        <v>133</v>
      </c>
      <c r="M26" s="52">
        <v>7</v>
      </c>
      <c r="N26" s="26">
        <v>132</v>
      </c>
      <c r="O26" s="52">
        <v>8</v>
      </c>
      <c r="P26" s="28">
        <v>134</v>
      </c>
      <c r="Q26" s="62">
        <v>12</v>
      </c>
    </row>
    <row r="27" spans="1:17" ht="19.5" thickBot="1" x14ac:dyDescent="0.2">
      <c r="A27" s="123"/>
      <c r="B27" s="107"/>
      <c r="C27" s="119"/>
      <c r="D27" s="102"/>
      <c r="E27" s="103"/>
      <c r="F27" s="102"/>
      <c r="G27" s="103"/>
      <c r="H27" s="19"/>
      <c r="I27" s="53">
        <f>I26/H26</f>
        <v>8.943089430894309E-2</v>
      </c>
      <c r="J27" s="47">
        <f>J26/H26</f>
        <v>1.024390243902439</v>
      </c>
      <c r="K27" s="53">
        <f>K26/J26</f>
        <v>6.3492063492063489E-2</v>
      </c>
      <c r="L27" s="47">
        <f>L26/J26</f>
        <v>1.0555555555555556</v>
      </c>
      <c r="M27" s="53">
        <f>M26/L26</f>
        <v>5.2631578947368418E-2</v>
      </c>
      <c r="N27" s="47">
        <f>N26/L26</f>
        <v>0.99248120300751874</v>
      </c>
      <c r="O27" s="53">
        <f>O26/N26</f>
        <v>6.0606060606060608E-2</v>
      </c>
      <c r="P27" s="47">
        <f>P26/N26</f>
        <v>1.0151515151515151</v>
      </c>
      <c r="Q27" s="63">
        <f>Q26/P26</f>
        <v>8.9552238805970144E-2</v>
      </c>
    </row>
    <row r="28" spans="1:17" ht="22.5" x14ac:dyDescent="0.15">
      <c r="A28" s="123"/>
      <c r="B28" s="104" t="s">
        <v>22</v>
      </c>
      <c r="C28" s="118" t="s">
        <v>21</v>
      </c>
      <c r="D28" s="6"/>
      <c r="E28" s="7"/>
      <c r="F28" s="6"/>
      <c r="G28" s="7"/>
      <c r="H28" s="26">
        <v>168</v>
      </c>
      <c r="I28" s="52">
        <v>41</v>
      </c>
      <c r="J28" s="26">
        <v>154</v>
      </c>
      <c r="K28" s="52">
        <v>28</v>
      </c>
      <c r="L28" s="26">
        <v>163</v>
      </c>
      <c r="M28" s="52">
        <v>34</v>
      </c>
      <c r="N28" s="26">
        <v>170</v>
      </c>
      <c r="O28" s="52">
        <v>64</v>
      </c>
      <c r="P28" s="28">
        <v>164</v>
      </c>
      <c r="Q28" s="62">
        <v>79</v>
      </c>
    </row>
    <row r="29" spans="1:17" x14ac:dyDescent="0.15">
      <c r="A29" s="123"/>
      <c r="B29" s="105"/>
      <c r="C29" s="119"/>
      <c r="D29" s="100"/>
      <c r="E29" s="97"/>
      <c r="F29" s="100"/>
      <c r="G29" s="97"/>
      <c r="H29" s="19"/>
      <c r="I29" s="53">
        <f>I28/H28</f>
        <v>0.24404761904761904</v>
      </c>
      <c r="J29" s="47">
        <f>J28/H28</f>
        <v>0.91666666666666663</v>
      </c>
      <c r="K29" s="53">
        <f>K28/J28</f>
        <v>0.18181818181818182</v>
      </c>
      <c r="L29" s="47">
        <f>L28/J28</f>
        <v>1.0584415584415585</v>
      </c>
      <c r="M29" s="53">
        <f>M28/L28</f>
        <v>0.20858895705521471</v>
      </c>
      <c r="N29" s="47">
        <f>N28/L28</f>
        <v>1.0429447852760736</v>
      </c>
      <c r="O29" s="53">
        <f>O28/N28</f>
        <v>0.37647058823529411</v>
      </c>
      <c r="P29" s="47">
        <f>P28/N28</f>
        <v>0.96470588235294119</v>
      </c>
      <c r="Q29" s="63">
        <f>Q28/P28</f>
        <v>0.48170731707317072</v>
      </c>
    </row>
    <row r="30" spans="1:17" ht="22.5" x14ac:dyDescent="0.15">
      <c r="A30" s="123"/>
      <c r="B30" s="108" t="s">
        <v>23</v>
      </c>
      <c r="C30" s="118" t="s">
        <v>21</v>
      </c>
      <c r="D30" s="6"/>
      <c r="E30" s="7"/>
      <c r="F30" s="6"/>
      <c r="G30" s="7"/>
      <c r="H30" s="26">
        <v>153</v>
      </c>
      <c r="I30" s="52">
        <v>39</v>
      </c>
      <c r="J30" s="26">
        <v>153</v>
      </c>
      <c r="K30" s="52">
        <v>16</v>
      </c>
      <c r="L30" s="26">
        <v>152</v>
      </c>
      <c r="M30" s="52">
        <v>15</v>
      </c>
      <c r="N30" s="26">
        <v>156</v>
      </c>
      <c r="O30" s="52">
        <v>36</v>
      </c>
      <c r="P30" s="28">
        <v>153</v>
      </c>
      <c r="Q30" s="62">
        <v>54</v>
      </c>
    </row>
    <row r="31" spans="1:17" x14ac:dyDescent="0.15">
      <c r="A31" s="123"/>
      <c r="B31" s="107"/>
      <c r="C31" s="119"/>
      <c r="D31" s="102"/>
      <c r="E31" s="103"/>
      <c r="F31" s="102"/>
      <c r="G31" s="103"/>
      <c r="H31" s="19"/>
      <c r="I31" s="53">
        <f>I30/H30</f>
        <v>0.25490196078431371</v>
      </c>
      <c r="J31" s="47">
        <f>J30/H30</f>
        <v>1</v>
      </c>
      <c r="K31" s="53">
        <f>K30/J30</f>
        <v>0.10457516339869281</v>
      </c>
      <c r="L31" s="47">
        <f>L30/J30</f>
        <v>0.99346405228758172</v>
      </c>
      <c r="M31" s="53">
        <f>M30/L30</f>
        <v>9.8684210526315791E-2</v>
      </c>
      <c r="N31" s="47">
        <f>N30/L30</f>
        <v>1.0263157894736843</v>
      </c>
      <c r="O31" s="53">
        <f>O30/N30</f>
        <v>0.23076923076923078</v>
      </c>
      <c r="P31" s="47">
        <f>P30/N30</f>
        <v>0.98076923076923073</v>
      </c>
      <c r="Q31" s="63">
        <f>Q30/P30</f>
        <v>0.35294117647058826</v>
      </c>
    </row>
    <row r="32" spans="1:17" ht="22.5" x14ac:dyDescent="0.15">
      <c r="A32" s="123"/>
      <c r="B32" s="108" t="s">
        <v>24</v>
      </c>
      <c r="C32" s="118" t="s">
        <v>21</v>
      </c>
      <c r="D32" s="6"/>
      <c r="E32" s="7"/>
      <c r="F32" s="6"/>
      <c r="G32" s="7"/>
      <c r="H32" s="26">
        <v>335</v>
      </c>
      <c r="I32" s="52">
        <v>51</v>
      </c>
      <c r="J32" s="26">
        <v>337</v>
      </c>
      <c r="K32" s="52">
        <v>41</v>
      </c>
      <c r="L32" s="26">
        <v>337</v>
      </c>
      <c r="M32" s="52">
        <v>45</v>
      </c>
      <c r="N32" s="26">
        <v>352</v>
      </c>
      <c r="O32" s="52">
        <v>69</v>
      </c>
      <c r="P32" s="28">
        <v>355</v>
      </c>
      <c r="Q32" s="62">
        <v>121</v>
      </c>
    </row>
    <row r="33" spans="1:17" ht="19.5" thickBot="1" x14ac:dyDescent="0.2">
      <c r="A33" s="123"/>
      <c r="B33" s="107"/>
      <c r="C33" s="119"/>
      <c r="D33" s="102"/>
      <c r="E33" s="103"/>
      <c r="F33" s="102"/>
      <c r="G33" s="103"/>
      <c r="H33" s="19"/>
      <c r="I33" s="53">
        <f>I32/H32</f>
        <v>0.15223880597014924</v>
      </c>
      <c r="J33" s="47">
        <f>J32/H32</f>
        <v>1.0059701492537314</v>
      </c>
      <c r="K33" s="53">
        <f>K32/J32</f>
        <v>0.12166172106824925</v>
      </c>
      <c r="L33" s="47">
        <f>L32/J32</f>
        <v>1</v>
      </c>
      <c r="M33" s="53">
        <f>M32/L32</f>
        <v>0.13353115727002968</v>
      </c>
      <c r="N33" s="47">
        <f>N32/L32</f>
        <v>1.0445103857566767</v>
      </c>
      <c r="O33" s="53">
        <f>O32/N32</f>
        <v>0.19602272727272727</v>
      </c>
      <c r="P33" s="47">
        <f>P32/N32</f>
        <v>1.0085227272727273</v>
      </c>
      <c r="Q33" s="63">
        <f>Q32/P32</f>
        <v>0.3408450704225352</v>
      </c>
    </row>
    <row r="34" spans="1:17" ht="18.75" customHeight="1" x14ac:dyDescent="0.15">
      <c r="A34" s="123"/>
      <c r="B34" s="106" t="s">
        <v>33</v>
      </c>
      <c r="C34" s="118" t="s">
        <v>21</v>
      </c>
      <c r="D34" s="6"/>
      <c r="E34" s="7"/>
      <c r="F34" s="6"/>
      <c r="G34" s="7"/>
      <c r="H34" s="26">
        <v>140</v>
      </c>
      <c r="I34" s="52">
        <v>22</v>
      </c>
      <c r="J34" s="26">
        <v>143</v>
      </c>
      <c r="K34" s="52">
        <v>21</v>
      </c>
      <c r="L34" s="26">
        <v>125</v>
      </c>
      <c r="M34" s="52">
        <v>18</v>
      </c>
      <c r="N34" s="26">
        <v>98</v>
      </c>
      <c r="O34" s="52">
        <v>22</v>
      </c>
      <c r="P34" s="28">
        <v>117</v>
      </c>
      <c r="Q34" s="62">
        <v>35</v>
      </c>
    </row>
    <row r="35" spans="1:17" ht="19.5" thickBot="1" x14ac:dyDescent="0.2">
      <c r="A35" s="124"/>
      <c r="B35" s="107"/>
      <c r="C35" s="119"/>
      <c r="D35" s="102"/>
      <c r="E35" s="103"/>
      <c r="F35" s="102"/>
      <c r="G35" s="103"/>
      <c r="H35" s="19"/>
      <c r="I35" s="53">
        <f>I34/H34</f>
        <v>0.15714285714285714</v>
      </c>
      <c r="J35" s="47">
        <f>J34/H34</f>
        <v>1.0214285714285714</v>
      </c>
      <c r="K35" s="53">
        <f>K34/J34</f>
        <v>0.14685314685314685</v>
      </c>
      <c r="L35" s="47">
        <f>L34/J34</f>
        <v>0.87412587412587417</v>
      </c>
      <c r="M35" s="53">
        <f>M34/L34</f>
        <v>0.14399999999999999</v>
      </c>
      <c r="N35" s="47">
        <f>N34/L34</f>
        <v>0.78400000000000003</v>
      </c>
      <c r="O35" s="53">
        <f>O34/N34</f>
        <v>0.22448979591836735</v>
      </c>
      <c r="P35" s="47">
        <f>P34/N34</f>
        <v>1.1938775510204083</v>
      </c>
      <c r="Q35" s="63">
        <f>Q34/P34</f>
        <v>0.29914529914529914</v>
      </c>
    </row>
    <row r="36" spans="1:17" ht="19.5" hidden="1" thickBot="1" x14ac:dyDescent="0.2">
      <c r="A36" s="129" t="s">
        <v>11</v>
      </c>
      <c r="B36" s="106" t="s">
        <v>24</v>
      </c>
      <c r="C36" s="118" t="s">
        <v>21</v>
      </c>
      <c r="D36" s="6"/>
      <c r="E36" s="7"/>
      <c r="F36" s="6"/>
      <c r="G36" s="7"/>
      <c r="H36" s="3">
        <v>76</v>
      </c>
      <c r="I36" s="4">
        <v>12</v>
      </c>
      <c r="J36" s="3">
        <v>60</v>
      </c>
      <c r="K36" s="4">
        <v>10</v>
      </c>
      <c r="L36" s="3">
        <v>46</v>
      </c>
      <c r="M36" s="4">
        <v>6</v>
      </c>
      <c r="N36" s="3">
        <v>46</v>
      </c>
      <c r="O36" s="4">
        <v>20</v>
      </c>
      <c r="P36" s="32"/>
      <c r="Q36" s="33"/>
    </row>
    <row r="37" spans="1:17" ht="19.5" hidden="1" thickBot="1" x14ac:dyDescent="0.2">
      <c r="A37" s="123"/>
      <c r="B37" s="107"/>
      <c r="C37" s="119"/>
      <c r="D37" s="102"/>
      <c r="E37" s="103"/>
      <c r="F37" s="102"/>
      <c r="G37" s="103"/>
      <c r="H37" s="152">
        <f>I36/H36</f>
        <v>0.15789473684210525</v>
      </c>
      <c r="I37" s="153"/>
      <c r="J37" s="152">
        <f>K36/J36</f>
        <v>0.16666666666666666</v>
      </c>
      <c r="K37" s="153"/>
      <c r="L37" s="152">
        <f>M36/L36</f>
        <v>0.13043478260869565</v>
      </c>
      <c r="M37" s="153"/>
      <c r="N37" s="152">
        <f>O36/N36</f>
        <v>0.43478260869565216</v>
      </c>
      <c r="O37" s="153"/>
      <c r="P37" s="32"/>
      <c r="Q37" s="33"/>
    </row>
    <row r="38" spans="1:17" ht="19.5" hidden="1" thickBot="1" x14ac:dyDescent="0.2">
      <c r="A38" s="123"/>
      <c r="B38" s="104" t="s">
        <v>120</v>
      </c>
      <c r="C38" s="118" t="s">
        <v>21</v>
      </c>
      <c r="D38" s="6"/>
      <c r="E38" s="7"/>
      <c r="F38" s="6"/>
      <c r="G38" s="7"/>
      <c r="H38" s="6"/>
      <c r="I38" s="7"/>
      <c r="J38" s="3">
        <v>10</v>
      </c>
      <c r="K38" s="4">
        <v>1</v>
      </c>
      <c r="L38" s="3">
        <v>16</v>
      </c>
      <c r="M38" s="4">
        <v>3</v>
      </c>
      <c r="N38" s="3">
        <v>24</v>
      </c>
      <c r="O38" s="4">
        <v>14</v>
      </c>
      <c r="P38" s="32"/>
      <c r="Q38" s="33"/>
    </row>
    <row r="39" spans="1:17" ht="19.5" hidden="1" thickBot="1" x14ac:dyDescent="0.2">
      <c r="A39" s="123"/>
      <c r="B39" s="105"/>
      <c r="C39" s="119"/>
      <c r="D39" s="100"/>
      <c r="E39" s="97"/>
      <c r="F39" s="100"/>
      <c r="G39" s="97"/>
      <c r="H39" s="100"/>
      <c r="I39" s="97"/>
      <c r="J39" s="154">
        <f>K38/J38</f>
        <v>0.1</v>
      </c>
      <c r="K39" s="155"/>
      <c r="L39" s="154">
        <f>M38/L38</f>
        <v>0.1875</v>
      </c>
      <c r="M39" s="155"/>
      <c r="N39" s="154">
        <f>O38/N38</f>
        <v>0.58333333333333337</v>
      </c>
      <c r="O39" s="155"/>
      <c r="P39" s="32"/>
      <c r="Q39" s="33"/>
    </row>
    <row r="40" spans="1:17" ht="19.5" hidden="1" thickBot="1" x14ac:dyDescent="0.2">
      <c r="A40" s="123"/>
      <c r="B40" s="108" t="s">
        <v>121</v>
      </c>
      <c r="C40" s="118" t="s">
        <v>21</v>
      </c>
      <c r="D40" s="6"/>
      <c r="E40" s="7"/>
      <c r="F40" s="6"/>
      <c r="G40" s="7"/>
      <c r="H40" s="6"/>
      <c r="I40" s="7"/>
      <c r="J40" s="3">
        <v>92</v>
      </c>
      <c r="K40" s="4">
        <v>16</v>
      </c>
      <c r="L40" s="3">
        <v>9</v>
      </c>
      <c r="M40" s="4">
        <v>3</v>
      </c>
      <c r="N40" s="3">
        <v>24</v>
      </c>
      <c r="O40" s="4">
        <v>11</v>
      </c>
      <c r="P40" s="32"/>
      <c r="Q40" s="33"/>
    </row>
    <row r="41" spans="1:17" ht="19.5" hidden="1" thickBot="1" x14ac:dyDescent="0.2">
      <c r="A41" s="124"/>
      <c r="B41" s="107"/>
      <c r="C41" s="119"/>
      <c r="D41" s="102"/>
      <c r="E41" s="103"/>
      <c r="F41" s="102"/>
      <c r="G41" s="103"/>
      <c r="H41" s="102"/>
      <c r="I41" s="103"/>
      <c r="J41" s="152">
        <f>K40/J40</f>
        <v>0.17391304347826086</v>
      </c>
      <c r="K41" s="153"/>
      <c r="L41" s="152">
        <f>M40/L40</f>
        <v>0.33333333333333331</v>
      </c>
      <c r="M41" s="153"/>
      <c r="N41" s="152">
        <f>O40/N40</f>
        <v>0.45833333333333331</v>
      </c>
      <c r="O41" s="153"/>
      <c r="P41" s="32"/>
      <c r="Q41" s="33"/>
    </row>
    <row r="42" spans="1:17" ht="22.5" x14ac:dyDescent="0.15">
      <c r="A42" s="98" t="s">
        <v>6</v>
      </c>
      <c r="B42" s="108" t="s">
        <v>226</v>
      </c>
      <c r="C42" s="118" t="s">
        <v>14</v>
      </c>
      <c r="D42" s="26">
        <v>397</v>
      </c>
      <c r="E42" s="52">
        <v>0</v>
      </c>
      <c r="F42" s="26">
        <v>494</v>
      </c>
      <c r="G42" s="52">
        <v>0</v>
      </c>
      <c r="H42" s="26">
        <v>529</v>
      </c>
      <c r="I42" s="52">
        <v>0</v>
      </c>
      <c r="J42" s="26">
        <v>543</v>
      </c>
      <c r="K42" s="52">
        <v>0</v>
      </c>
      <c r="L42" s="26">
        <v>515</v>
      </c>
      <c r="M42" s="52">
        <v>0</v>
      </c>
      <c r="N42" s="26">
        <v>499</v>
      </c>
      <c r="O42" s="52">
        <v>0</v>
      </c>
      <c r="P42" s="28">
        <v>480</v>
      </c>
      <c r="Q42" s="62">
        <v>0</v>
      </c>
    </row>
    <row r="43" spans="1:17" ht="19.5" thickBot="1" x14ac:dyDescent="0.2">
      <c r="A43" s="144"/>
      <c r="B43" s="107"/>
      <c r="C43" s="119"/>
      <c r="D43" s="19"/>
      <c r="E43" s="53">
        <f>E42/D42</f>
        <v>0</v>
      </c>
      <c r="F43" s="47">
        <f>F42/D42</f>
        <v>1.2443324937027709</v>
      </c>
      <c r="G43" s="53">
        <f>G42/F42</f>
        <v>0</v>
      </c>
      <c r="H43" s="47">
        <f>H42/F42</f>
        <v>1.0708502024291497</v>
      </c>
      <c r="I43" s="53">
        <f>I42/H42</f>
        <v>0</v>
      </c>
      <c r="J43" s="47">
        <f>J42/H42</f>
        <v>1.0264650283553876</v>
      </c>
      <c r="K43" s="53">
        <f>K42/J42</f>
        <v>0</v>
      </c>
      <c r="L43" s="47">
        <f>L42/J42</f>
        <v>0.94843462246777166</v>
      </c>
      <c r="M43" s="53">
        <f>M42/L42</f>
        <v>0</v>
      </c>
      <c r="N43" s="47">
        <f>N42/L42</f>
        <v>0.96893203883495149</v>
      </c>
      <c r="O43" s="53">
        <f>O42/N42</f>
        <v>0</v>
      </c>
      <c r="P43" s="47">
        <f>P42/N42</f>
        <v>0.96192384769539074</v>
      </c>
      <c r="Q43" s="63">
        <f>Q42/P42</f>
        <v>0</v>
      </c>
    </row>
    <row r="44" spans="1:17" ht="19.5" customHeight="1" x14ac:dyDescent="0.15">
      <c r="A44" s="144"/>
      <c r="B44" s="108" t="s">
        <v>227</v>
      </c>
      <c r="C44" s="118" t="s">
        <v>14</v>
      </c>
      <c r="D44" s="6"/>
      <c r="E44" s="7"/>
      <c r="F44" s="26">
        <v>78</v>
      </c>
      <c r="G44" s="52">
        <v>0</v>
      </c>
      <c r="H44" s="26">
        <v>127</v>
      </c>
      <c r="I44" s="52">
        <v>0</v>
      </c>
      <c r="J44" s="26">
        <v>170</v>
      </c>
      <c r="K44" s="52">
        <v>0</v>
      </c>
      <c r="L44" s="26">
        <v>191</v>
      </c>
      <c r="M44" s="52">
        <v>0</v>
      </c>
      <c r="N44" s="26">
        <v>146</v>
      </c>
      <c r="O44" s="52">
        <v>0</v>
      </c>
      <c r="P44" s="28">
        <v>123</v>
      </c>
      <c r="Q44" s="62">
        <v>0</v>
      </c>
    </row>
    <row r="45" spans="1:17" ht="19.5" thickBot="1" x14ac:dyDescent="0.2">
      <c r="A45" s="144"/>
      <c r="B45" s="107"/>
      <c r="C45" s="119"/>
      <c r="D45" s="102"/>
      <c r="E45" s="103"/>
      <c r="F45" s="19"/>
      <c r="G45" s="53">
        <f>G44/F44</f>
        <v>0</v>
      </c>
      <c r="H45" s="47">
        <f>H44/F44</f>
        <v>1.6282051282051282</v>
      </c>
      <c r="I45" s="53">
        <f>I44/H44</f>
        <v>0</v>
      </c>
      <c r="J45" s="47">
        <f>J44/H44</f>
        <v>1.3385826771653544</v>
      </c>
      <c r="K45" s="53">
        <f>K44/J44</f>
        <v>0</v>
      </c>
      <c r="L45" s="47">
        <f>L44/J44</f>
        <v>1.1235294117647059</v>
      </c>
      <c r="M45" s="53">
        <f>M44/L44</f>
        <v>0</v>
      </c>
      <c r="N45" s="47">
        <f>N44/L44</f>
        <v>0.76439790575916233</v>
      </c>
      <c r="O45" s="53">
        <f>O44/N44</f>
        <v>0</v>
      </c>
      <c r="P45" s="47">
        <f>P44/N44</f>
        <v>0.84246575342465757</v>
      </c>
      <c r="Q45" s="63">
        <f>Q44/P44</f>
        <v>0</v>
      </c>
    </row>
    <row r="46" spans="1:17" ht="22.5" customHeight="1" x14ac:dyDescent="0.15">
      <c r="A46" s="144"/>
      <c r="B46" s="108" t="s">
        <v>228</v>
      </c>
      <c r="C46" s="118" t="s">
        <v>38</v>
      </c>
      <c r="D46" s="26">
        <v>111</v>
      </c>
      <c r="E46" s="52">
        <v>0</v>
      </c>
      <c r="F46" s="26">
        <v>103</v>
      </c>
      <c r="G46" s="52">
        <v>0</v>
      </c>
      <c r="H46" s="34">
        <v>88</v>
      </c>
      <c r="I46" s="56">
        <v>0</v>
      </c>
      <c r="J46" s="34">
        <v>65</v>
      </c>
      <c r="K46" s="56">
        <v>0</v>
      </c>
      <c r="L46" s="34">
        <v>63</v>
      </c>
      <c r="M46" s="52">
        <v>0</v>
      </c>
      <c r="N46" s="34">
        <v>119</v>
      </c>
      <c r="O46" s="52">
        <v>0</v>
      </c>
      <c r="P46" s="28">
        <v>182</v>
      </c>
      <c r="Q46" s="62">
        <v>0</v>
      </c>
    </row>
    <row r="47" spans="1:17" ht="19.5" customHeight="1" thickBot="1" x14ac:dyDescent="0.2">
      <c r="A47" s="144"/>
      <c r="B47" s="107"/>
      <c r="C47" s="119"/>
      <c r="D47" s="19"/>
      <c r="E47" s="53">
        <f>E46/D46</f>
        <v>0</v>
      </c>
      <c r="F47" s="47">
        <f>F46/D46</f>
        <v>0.92792792792792789</v>
      </c>
      <c r="G47" s="53">
        <f>G46/F46</f>
        <v>0</v>
      </c>
      <c r="H47" s="47">
        <f>H46/F46</f>
        <v>0.85436893203883491</v>
      </c>
      <c r="I47" s="53">
        <f>I46/H46</f>
        <v>0</v>
      </c>
      <c r="J47" s="47">
        <f>J46/H46</f>
        <v>0.73863636363636365</v>
      </c>
      <c r="K47" s="53">
        <f>K46/J46</f>
        <v>0</v>
      </c>
      <c r="L47" s="47">
        <f>L46/J46</f>
        <v>0.96923076923076923</v>
      </c>
      <c r="M47" s="53">
        <f>M46/L46</f>
        <v>0</v>
      </c>
      <c r="N47" s="47">
        <f>N46/L46</f>
        <v>1.8888888888888888</v>
      </c>
      <c r="O47" s="53">
        <f>O46/N46</f>
        <v>0</v>
      </c>
      <c r="P47" s="47">
        <f>P46/N46</f>
        <v>1.5294117647058822</v>
      </c>
      <c r="Q47" s="63">
        <f>Q46/P46</f>
        <v>0</v>
      </c>
    </row>
    <row r="48" spans="1:17" ht="22.5" x14ac:dyDescent="0.15">
      <c r="A48" s="144"/>
      <c r="B48" s="108" t="s">
        <v>229</v>
      </c>
      <c r="C48" s="118" t="s">
        <v>21</v>
      </c>
      <c r="D48" s="26">
        <v>98</v>
      </c>
      <c r="E48" s="52">
        <v>0</v>
      </c>
      <c r="F48" s="26">
        <v>103</v>
      </c>
      <c r="G48" s="52">
        <v>0</v>
      </c>
      <c r="H48" s="34">
        <v>108</v>
      </c>
      <c r="I48" s="56">
        <v>0</v>
      </c>
      <c r="J48" s="34">
        <v>108</v>
      </c>
      <c r="K48" s="56">
        <v>0</v>
      </c>
      <c r="L48" s="34">
        <v>94</v>
      </c>
      <c r="M48" s="52">
        <v>0</v>
      </c>
      <c r="N48" s="34">
        <v>70</v>
      </c>
      <c r="O48" s="52">
        <v>0</v>
      </c>
      <c r="P48" s="28">
        <v>64</v>
      </c>
      <c r="Q48" s="62"/>
    </row>
    <row r="49" spans="1:17" ht="19.5" customHeight="1" thickBot="1" x14ac:dyDescent="0.2">
      <c r="A49" s="144"/>
      <c r="B49" s="107"/>
      <c r="C49" s="119"/>
      <c r="D49" s="19"/>
      <c r="E49" s="53">
        <f>E48/D48</f>
        <v>0</v>
      </c>
      <c r="F49" s="47">
        <f>F48/D48</f>
        <v>1.0510204081632653</v>
      </c>
      <c r="G49" s="53">
        <f>G48/F48</f>
        <v>0</v>
      </c>
      <c r="H49" s="47">
        <f>H48/F48</f>
        <v>1.0485436893203883</v>
      </c>
      <c r="I49" s="53">
        <f>I48/H48</f>
        <v>0</v>
      </c>
      <c r="J49" s="47">
        <f>J48/H48</f>
        <v>1</v>
      </c>
      <c r="K49" s="53">
        <f>K48/J48</f>
        <v>0</v>
      </c>
      <c r="L49" s="47">
        <f>L48/J48</f>
        <v>0.87037037037037035</v>
      </c>
      <c r="M49" s="53">
        <f>M48/L48</f>
        <v>0</v>
      </c>
      <c r="N49" s="47">
        <f>N48/L48</f>
        <v>0.74468085106382975</v>
      </c>
      <c r="O49" s="53">
        <f>O48/N48</f>
        <v>0</v>
      </c>
      <c r="P49" s="47">
        <f>P48/N48</f>
        <v>0.91428571428571426</v>
      </c>
      <c r="Q49" s="63">
        <f>Q48/P48</f>
        <v>0</v>
      </c>
    </row>
    <row r="50" spans="1:17" ht="22.5" x14ac:dyDescent="0.15">
      <c r="A50" s="144"/>
      <c r="B50" s="108" t="s">
        <v>230</v>
      </c>
      <c r="C50" s="118" t="s">
        <v>21</v>
      </c>
      <c r="D50" s="26">
        <v>49</v>
      </c>
      <c r="E50" s="52">
        <v>0</v>
      </c>
      <c r="F50" s="26">
        <v>76</v>
      </c>
      <c r="G50" s="52">
        <v>0</v>
      </c>
      <c r="H50" s="34">
        <v>61</v>
      </c>
      <c r="I50" s="56">
        <v>0</v>
      </c>
      <c r="J50" s="34">
        <v>48</v>
      </c>
      <c r="K50" s="56">
        <v>0</v>
      </c>
      <c r="L50" s="34">
        <v>39</v>
      </c>
      <c r="M50" s="52">
        <v>0</v>
      </c>
      <c r="N50" s="34">
        <v>20</v>
      </c>
      <c r="O50" s="52">
        <v>0</v>
      </c>
      <c r="P50" s="28">
        <v>18</v>
      </c>
      <c r="Q50" s="62"/>
    </row>
    <row r="51" spans="1:17" ht="19.5" customHeight="1" thickBot="1" x14ac:dyDescent="0.2">
      <c r="A51" s="144"/>
      <c r="B51" s="107"/>
      <c r="C51" s="119"/>
      <c r="D51" s="19"/>
      <c r="E51" s="53">
        <f>E50/D50</f>
        <v>0</v>
      </c>
      <c r="F51" s="47">
        <f>F50/D50</f>
        <v>1.5510204081632653</v>
      </c>
      <c r="G51" s="53">
        <f>G50/F50</f>
        <v>0</v>
      </c>
      <c r="H51" s="47">
        <f>H50/F50</f>
        <v>0.80263157894736847</v>
      </c>
      <c r="I51" s="53">
        <f>I50/H50</f>
        <v>0</v>
      </c>
      <c r="J51" s="47">
        <f>J50/H50</f>
        <v>0.78688524590163933</v>
      </c>
      <c r="K51" s="53">
        <f>K50/J50</f>
        <v>0</v>
      </c>
      <c r="L51" s="47">
        <f>L50/J50</f>
        <v>0.8125</v>
      </c>
      <c r="M51" s="53">
        <f>M50/L50</f>
        <v>0</v>
      </c>
      <c r="N51" s="47">
        <f>N50/L50</f>
        <v>0.51282051282051277</v>
      </c>
      <c r="O51" s="53">
        <f>O50/N50</f>
        <v>0</v>
      </c>
      <c r="P51" s="47">
        <f>P50/N50</f>
        <v>0.9</v>
      </c>
      <c r="Q51" s="63">
        <f>Q50/P50</f>
        <v>0</v>
      </c>
    </row>
    <row r="52" spans="1:17" ht="22.5" x14ac:dyDescent="0.15">
      <c r="A52" s="144"/>
      <c r="B52" s="108" t="s">
        <v>231</v>
      </c>
      <c r="C52" s="118" t="s">
        <v>21</v>
      </c>
      <c r="D52" s="26">
        <v>387</v>
      </c>
      <c r="E52" s="52">
        <v>0</v>
      </c>
      <c r="F52" s="26">
        <v>368</v>
      </c>
      <c r="G52" s="52">
        <v>0</v>
      </c>
      <c r="H52" s="34">
        <v>420</v>
      </c>
      <c r="I52" s="56">
        <v>0</v>
      </c>
      <c r="J52" s="34">
        <v>397</v>
      </c>
      <c r="K52" s="56">
        <v>0</v>
      </c>
      <c r="L52" s="34">
        <v>298</v>
      </c>
      <c r="M52" s="52">
        <v>0</v>
      </c>
      <c r="N52" s="34">
        <v>229</v>
      </c>
      <c r="O52" s="52">
        <v>0</v>
      </c>
      <c r="P52" s="28">
        <v>168</v>
      </c>
      <c r="Q52" s="62">
        <v>0</v>
      </c>
    </row>
    <row r="53" spans="1:17" ht="19.5" customHeight="1" thickBot="1" x14ac:dyDescent="0.2">
      <c r="A53" s="144"/>
      <c r="B53" s="107"/>
      <c r="C53" s="119"/>
      <c r="D53" s="19"/>
      <c r="E53" s="53">
        <f>E52/D52</f>
        <v>0</v>
      </c>
      <c r="F53" s="47">
        <f>F52/D52</f>
        <v>0.95090439276485783</v>
      </c>
      <c r="G53" s="53">
        <f>G52/F52</f>
        <v>0</v>
      </c>
      <c r="H53" s="47">
        <f>H52/F52</f>
        <v>1.1413043478260869</v>
      </c>
      <c r="I53" s="53">
        <f>I52/H52</f>
        <v>0</v>
      </c>
      <c r="J53" s="47">
        <f>J52/H52</f>
        <v>0.94523809523809521</v>
      </c>
      <c r="K53" s="53">
        <f>K52/J52</f>
        <v>0</v>
      </c>
      <c r="L53" s="47">
        <f>L52/J52</f>
        <v>0.75062972292191432</v>
      </c>
      <c r="M53" s="53">
        <f>M52/L52</f>
        <v>0</v>
      </c>
      <c r="N53" s="47">
        <f>N52/L52</f>
        <v>0.76845637583892612</v>
      </c>
      <c r="O53" s="53">
        <f>O52/N52</f>
        <v>0</v>
      </c>
      <c r="P53" s="47">
        <f>P52/N52</f>
        <v>0.73362445414847166</v>
      </c>
      <c r="Q53" s="63">
        <f>Q52/P52</f>
        <v>0</v>
      </c>
    </row>
    <row r="54" spans="1:17" ht="22.5" x14ac:dyDescent="0.15">
      <c r="A54" s="98" t="s">
        <v>7</v>
      </c>
      <c r="B54" s="108" t="s">
        <v>233</v>
      </c>
      <c r="C54" s="118" t="s">
        <v>14</v>
      </c>
      <c r="D54" s="8"/>
      <c r="E54" s="9"/>
      <c r="F54" s="8"/>
      <c r="G54" s="9"/>
      <c r="H54" s="34">
        <v>111</v>
      </c>
      <c r="I54" s="56">
        <v>0</v>
      </c>
      <c r="J54" s="34">
        <v>103</v>
      </c>
      <c r="K54" s="56">
        <v>0</v>
      </c>
      <c r="L54" s="34">
        <v>83</v>
      </c>
      <c r="M54" s="52">
        <v>0</v>
      </c>
      <c r="N54" s="34">
        <v>61</v>
      </c>
      <c r="O54" s="52">
        <v>0</v>
      </c>
      <c r="P54" s="28">
        <v>55</v>
      </c>
      <c r="Q54" s="62">
        <v>0</v>
      </c>
    </row>
    <row r="55" spans="1:17" ht="19.5" customHeight="1" thickBot="1" x14ac:dyDescent="0.2">
      <c r="A55" s="144"/>
      <c r="B55" s="107"/>
      <c r="C55" s="119"/>
      <c r="D55" s="101"/>
      <c r="E55" s="113"/>
      <c r="F55" s="101"/>
      <c r="G55" s="113"/>
      <c r="H55" s="19"/>
      <c r="I55" s="53">
        <f>I54/H54</f>
        <v>0</v>
      </c>
      <c r="J55" s="47">
        <f>J54/H54</f>
        <v>0.92792792792792789</v>
      </c>
      <c r="K55" s="53">
        <f>K54/J54</f>
        <v>0</v>
      </c>
      <c r="L55" s="47">
        <f>L54/J54</f>
        <v>0.80582524271844658</v>
      </c>
      <c r="M55" s="53">
        <f>M54/L54</f>
        <v>0</v>
      </c>
      <c r="N55" s="47">
        <f>N54/L54</f>
        <v>0.73493975903614461</v>
      </c>
      <c r="O55" s="53">
        <f>O54/N54</f>
        <v>0</v>
      </c>
      <c r="P55" s="47">
        <f>P54/N54</f>
        <v>0.90163934426229508</v>
      </c>
      <c r="Q55" s="63">
        <f>Q54/P54</f>
        <v>0</v>
      </c>
    </row>
    <row r="56" spans="1:17" ht="22.5" customHeight="1" x14ac:dyDescent="0.15">
      <c r="A56" s="144"/>
      <c r="B56" s="108" t="s">
        <v>232</v>
      </c>
      <c r="C56" s="118" t="s">
        <v>38</v>
      </c>
      <c r="D56" s="8"/>
      <c r="E56" s="9"/>
      <c r="F56" s="8"/>
      <c r="G56" s="9"/>
      <c r="H56" s="34">
        <v>144</v>
      </c>
      <c r="I56" s="56">
        <v>0</v>
      </c>
      <c r="J56" s="34">
        <v>161</v>
      </c>
      <c r="K56" s="56">
        <v>0</v>
      </c>
      <c r="L56" s="34">
        <v>154</v>
      </c>
      <c r="M56" s="52">
        <v>0</v>
      </c>
      <c r="N56" s="34">
        <v>162</v>
      </c>
      <c r="O56" s="52">
        <v>0</v>
      </c>
      <c r="P56" s="28">
        <v>159</v>
      </c>
      <c r="Q56" s="62">
        <v>0</v>
      </c>
    </row>
    <row r="57" spans="1:17" ht="19.5" customHeight="1" thickBot="1" x14ac:dyDescent="0.2">
      <c r="A57" s="144"/>
      <c r="B57" s="107"/>
      <c r="C57" s="119"/>
      <c r="D57" s="100"/>
      <c r="E57" s="101"/>
      <c r="F57" s="100"/>
      <c r="G57" s="101"/>
      <c r="H57" s="19"/>
      <c r="I57" s="53">
        <f>I56/H56</f>
        <v>0</v>
      </c>
      <c r="J57" s="47">
        <f>J56/H56</f>
        <v>1.1180555555555556</v>
      </c>
      <c r="K57" s="53">
        <f>K56/J56</f>
        <v>0</v>
      </c>
      <c r="L57" s="47">
        <f>L56/J56</f>
        <v>0.95652173913043481</v>
      </c>
      <c r="M57" s="53">
        <f>M56/L56</f>
        <v>0</v>
      </c>
      <c r="N57" s="47">
        <f>N56/L56</f>
        <v>1.051948051948052</v>
      </c>
      <c r="O57" s="53">
        <f>O56/N56</f>
        <v>0</v>
      </c>
      <c r="P57" s="47">
        <f>P56/N56</f>
        <v>0.98148148148148151</v>
      </c>
      <c r="Q57" s="63">
        <f>Q56/P56</f>
        <v>0</v>
      </c>
    </row>
    <row r="58" spans="1:17" ht="22.5" customHeight="1" x14ac:dyDescent="0.15">
      <c r="A58" s="144"/>
      <c r="B58" s="108" t="s">
        <v>234</v>
      </c>
      <c r="C58" s="118" t="s">
        <v>38</v>
      </c>
      <c r="D58" s="8"/>
      <c r="E58" s="9"/>
      <c r="F58" s="8"/>
      <c r="G58" s="9"/>
      <c r="H58" s="34">
        <v>134</v>
      </c>
      <c r="I58" s="56">
        <v>0</v>
      </c>
      <c r="J58" s="34">
        <v>137</v>
      </c>
      <c r="K58" s="56">
        <v>0</v>
      </c>
      <c r="L58" s="34">
        <v>107</v>
      </c>
      <c r="M58" s="52">
        <v>0</v>
      </c>
      <c r="N58" s="34">
        <v>84</v>
      </c>
      <c r="O58" s="52">
        <v>1</v>
      </c>
      <c r="P58" s="28">
        <v>59</v>
      </c>
      <c r="Q58" s="62">
        <v>2</v>
      </c>
    </row>
    <row r="59" spans="1:17" ht="19.5" customHeight="1" thickBot="1" x14ac:dyDescent="0.2">
      <c r="A59" s="144"/>
      <c r="B59" s="107"/>
      <c r="C59" s="119"/>
      <c r="D59" s="100"/>
      <c r="E59" s="101"/>
      <c r="F59" s="100"/>
      <c r="G59" s="101"/>
      <c r="H59" s="19"/>
      <c r="I59" s="53">
        <f>I58/H58</f>
        <v>0</v>
      </c>
      <c r="J59" s="47">
        <f>J58/H58</f>
        <v>1.0223880597014925</v>
      </c>
      <c r="K59" s="53">
        <f>K58/J58</f>
        <v>0</v>
      </c>
      <c r="L59" s="47">
        <f>L58/J58</f>
        <v>0.78102189781021902</v>
      </c>
      <c r="M59" s="53">
        <f>M58/L58</f>
        <v>0</v>
      </c>
      <c r="N59" s="47">
        <f>N58/L58</f>
        <v>0.78504672897196259</v>
      </c>
      <c r="O59" s="53">
        <f>O58/N58</f>
        <v>1.1904761904761904E-2</v>
      </c>
      <c r="P59" s="47">
        <f>P58/N58</f>
        <v>0.70238095238095233</v>
      </c>
      <c r="Q59" s="63">
        <f>Q58/P58</f>
        <v>3.3898305084745763E-2</v>
      </c>
    </row>
    <row r="60" spans="1:17" ht="19.5" customHeight="1" x14ac:dyDescent="0.15">
      <c r="A60" s="144"/>
      <c r="B60" s="108" t="s">
        <v>24</v>
      </c>
      <c r="C60" s="118" t="s">
        <v>21</v>
      </c>
      <c r="D60" s="6"/>
      <c r="E60" s="7"/>
      <c r="F60" s="6"/>
      <c r="G60" s="7"/>
      <c r="H60" s="26">
        <v>216</v>
      </c>
      <c r="I60" s="52">
        <v>3</v>
      </c>
      <c r="J60" s="26">
        <v>210</v>
      </c>
      <c r="K60" s="52">
        <v>1</v>
      </c>
      <c r="L60" s="26">
        <v>150</v>
      </c>
      <c r="M60" s="52">
        <v>0</v>
      </c>
      <c r="N60" s="26">
        <v>162</v>
      </c>
      <c r="O60" s="52">
        <v>2</v>
      </c>
      <c r="P60" s="28">
        <v>152</v>
      </c>
      <c r="Q60" s="62">
        <v>3</v>
      </c>
    </row>
    <row r="61" spans="1:17" ht="19.5" thickBot="1" x14ac:dyDescent="0.2">
      <c r="A61" s="99"/>
      <c r="B61" s="107"/>
      <c r="C61" s="119"/>
      <c r="D61" s="102"/>
      <c r="E61" s="103"/>
      <c r="F61" s="102"/>
      <c r="G61" s="103"/>
      <c r="H61" s="19"/>
      <c r="I61" s="53">
        <f>I60/H60</f>
        <v>1.3888888888888888E-2</v>
      </c>
      <c r="J61" s="47">
        <f>J60/H60</f>
        <v>0.97222222222222221</v>
      </c>
      <c r="K61" s="53">
        <f>K60/J60</f>
        <v>4.7619047619047623E-3</v>
      </c>
      <c r="L61" s="47">
        <f>L60/J60</f>
        <v>0.7142857142857143</v>
      </c>
      <c r="M61" s="53">
        <f>M60/L60</f>
        <v>0</v>
      </c>
      <c r="N61" s="47">
        <f>N60/L60</f>
        <v>1.08</v>
      </c>
      <c r="O61" s="53">
        <f>O60/N60</f>
        <v>1.2345679012345678E-2</v>
      </c>
      <c r="P61" s="47">
        <f>P60/N60</f>
        <v>0.93827160493827155</v>
      </c>
      <c r="Q61" s="63">
        <f>Q60/P60</f>
        <v>1.9736842105263157E-2</v>
      </c>
    </row>
    <row r="62" spans="1:17" ht="22.5" customHeight="1" thickBot="1" x14ac:dyDescent="0.2">
      <c r="A62" s="104" t="s">
        <v>188</v>
      </c>
      <c r="B62" s="108" t="s">
        <v>32</v>
      </c>
      <c r="C62" s="118" t="s">
        <v>38</v>
      </c>
      <c r="D62" s="8"/>
      <c r="E62" s="9"/>
      <c r="F62" s="8"/>
      <c r="G62" s="9"/>
      <c r="H62" s="8"/>
      <c r="I62" s="9"/>
      <c r="J62" s="34">
        <v>56</v>
      </c>
      <c r="K62" s="56">
        <v>0</v>
      </c>
      <c r="L62" s="34">
        <v>85</v>
      </c>
      <c r="M62" s="52">
        <v>0</v>
      </c>
      <c r="N62" s="34">
        <v>81</v>
      </c>
      <c r="O62" s="52">
        <v>0</v>
      </c>
      <c r="P62" s="28">
        <v>67</v>
      </c>
      <c r="Q62" s="62">
        <v>5</v>
      </c>
    </row>
    <row r="63" spans="1:17" ht="19.5" customHeight="1" thickBot="1" x14ac:dyDescent="0.2">
      <c r="A63" s="117"/>
      <c r="B63" s="107"/>
      <c r="C63" s="119"/>
      <c r="D63" s="100"/>
      <c r="E63" s="101"/>
      <c r="F63" s="8"/>
      <c r="G63" s="9"/>
      <c r="H63" s="8"/>
      <c r="I63" s="9"/>
      <c r="J63" s="19"/>
      <c r="K63" s="53">
        <f>K62/J62</f>
        <v>0</v>
      </c>
      <c r="L63" s="47">
        <f>L62/J62</f>
        <v>1.5178571428571428</v>
      </c>
      <c r="M63" s="53">
        <f>M62/L62</f>
        <v>0</v>
      </c>
      <c r="N63" s="47">
        <f>N62/L62</f>
        <v>0.95294117647058818</v>
      </c>
      <c r="O63" s="53">
        <f>O62/N62</f>
        <v>0</v>
      </c>
      <c r="P63" s="47">
        <f>P62/N62</f>
        <v>0.8271604938271605</v>
      </c>
      <c r="Q63" s="63">
        <f>Q62/P62</f>
        <v>7.4626865671641784E-2</v>
      </c>
    </row>
    <row r="64" spans="1:17" ht="22.5" customHeight="1" x14ac:dyDescent="0.15">
      <c r="A64" s="117"/>
      <c r="B64" s="108" t="s">
        <v>24</v>
      </c>
      <c r="C64" s="118" t="s">
        <v>21</v>
      </c>
      <c r="D64" s="8"/>
      <c r="E64" s="9"/>
      <c r="F64" s="34">
        <v>121</v>
      </c>
      <c r="G64" s="56">
        <v>6</v>
      </c>
      <c r="H64" s="34">
        <v>165</v>
      </c>
      <c r="I64" s="56">
        <v>8</v>
      </c>
      <c r="J64" s="34">
        <v>148</v>
      </c>
      <c r="K64" s="56">
        <v>5</v>
      </c>
      <c r="L64" s="34">
        <v>90</v>
      </c>
      <c r="M64" s="52">
        <v>2</v>
      </c>
      <c r="N64" s="34">
        <v>82</v>
      </c>
      <c r="O64" s="52">
        <v>13</v>
      </c>
      <c r="P64" s="28">
        <v>81</v>
      </c>
      <c r="Q64" s="62">
        <v>35</v>
      </c>
    </row>
    <row r="65" spans="1:17" ht="19.5" customHeight="1" thickBot="1" x14ac:dyDescent="0.2">
      <c r="A65" s="105"/>
      <c r="B65" s="107"/>
      <c r="C65" s="119"/>
      <c r="D65" s="100"/>
      <c r="E65" s="101"/>
      <c r="F65" s="19"/>
      <c r="G65" s="53">
        <f>G64/F64</f>
        <v>4.9586776859504134E-2</v>
      </c>
      <c r="H65" s="47">
        <f>H64/F64</f>
        <v>1.3636363636363635</v>
      </c>
      <c r="I65" s="53">
        <f>I64/H64</f>
        <v>4.8484848484848485E-2</v>
      </c>
      <c r="J65" s="47">
        <f>J64/H64</f>
        <v>0.89696969696969697</v>
      </c>
      <c r="K65" s="53">
        <f>K64/J64</f>
        <v>3.3783783783783786E-2</v>
      </c>
      <c r="L65" s="47">
        <f>L64/J64</f>
        <v>0.60810810810810811</v>
      </c>
      <c r="M65" s="53">
        <f>M64/L64</f>
        <v>2.2222222222222223E-2</v>
      </c>
      <c r="N65" s="47">
        <f>N64/L64</f>
        <v>0.91111111111111109</v>
      </c>
      <c r="O65" s="53">
        <f>O64/N64</f>
        <v>0.15853658536585366</v>
      </c>
      <c r="P65" s="47">
        <f>P64/N64</f>
        <v>0.98780487804878048</v>
      </c>
      <c r="Q65" s="63">
        <f>Q64/P64</f>
        <v>0.43209876543209874</v>
      </c>
    </row>
    <row r="66" spans="1:17" ht="22.5" customHeight="1" x14ac:dyDescent="0.15">
      <c r="A66" s="104" t="s">
        <v>240</v>
      </c>
      <c r="B66" s="108" t="s">
        <v>32</v>
      </c>
      <c r="C66" s="118" t="s">
        <v>38</v>
      </c>
      <c r="D66" s="8"/>
      <c r="E66" s="9"/>
      <c r="F66" s="8"/>
      <c r="G66" s="9"/>
      <c r="H66" s="8"/>
      <c r="I66" s="9"/>
      <c r="J66" s="8"/>
      <c r="K66" s="9"/>
      <c r="L66" s="8"/>
      <c r="M66" s="9"/>
      <c r="N66" s="8"/>
      <c r="O66" s="9"/>
      <c r="P66" s="28">
        <v>5</v>
      </c>
      <c r="Q66" s="62">
        <v>2</v>
      </c>
    </row>
    <row r="67" spans="1:17" ht="19.5" customHeight="1" thickBot="1" x14ac:dyDescent="0.2">
      <c r="A67" s="117"/>
      <c r="B67" s="107"/>
      <c r="C67" s="119"/>
      <c r="D67" s="100"/>
      <c r="E67" s="101"/>
      <c r="F67" s="100"/>
      <c r="G67" s="101"/>
      <c r="H67" s="100"/>
      <c r="I67" s="101"/>
      <c r="J67" s="100"/>
      <c r="K67" s="101"/>
      <c r="L67" s="100"/>
      <c r="M67" s="101"/>
      <c r="N67" s="100"/>
      <c r="O67" s="101"/>
      <c r="P67" s="19"/>
      <c r="Q67" s="63">
        <f>Q66/P66</f>
        <v>0.4</v>
      </c>
    </row>
    <row r="68" spans="1:17" ht="22.5" customHeight="1" x14ac:dyDescent="0.15">
      <c r="A68" s="117"/>
      <c r="B68" s="108" t="s">
        <v>24</v>
      </c>
      <c r="C68" s="118" t="s">
        <v>21</v>
      </c>
      <c r="D68" s="8"/>
      <c r="E68" s="9"/>
      <c r="F68" s="8"/>
      <c r="G68" s="9"/>
      <c r="H68" s="8"/>
      <c r="I68" s="9"/>
      <c r="J68" s="8"/>
      <c r="K68" s="9"/>
      <c r="L68" s="8"/>
      <c r="M68" s="9"/>
      <c r="N68" s="8"/>
      <c r="O68" s="9"/>
      <c r="P68" s="28">
        <v>38</v>
      </c>
      <c r="Q68" s="62">
        <v>14</v>
      </c>
    </row>
    <row r="69" spans="1:17" ht="19.5" customHeight="1" thickBot="1" x14ac:dyDescent="0.2">
      <c r="A69" s="105"/>
      <c r="B69" s="107"/>
      <c r="C69" s="119"/>
      <c r="D69" s="100"/>
      <c r="E69" s="101"/>
      <c r="F69" s="100"/>
      <c r="G69" s="101"/>
      <c r="H69" s="100"/>
      <c r="I69" s="101"/>
      <c r="J69" s="100"/>
      <c r="K69" s="101"/>
      <c r="L69" s="100"/>
      <c r="M69" s="101"/>
      <c r="N69" s="100"/>
      <c r="O69" s="101"/>
      <c r="P69" s="19"/>
      <c r="Q69" s="63">
        <f>Q68/P68</f>
        <v>0.36842105263157893</v>
      </c>
    </row>
    <row r="70" spans="1:17" ht="22.5" customHeight="1" x14ac:dyDescent="0.15">
      <c r="A70" s="104" t="s">
        <v>242</v>
      </c>
      <c r="B70" s="108" t="s">
        <v>32</v>
      </c>
      <c r="C70" s="118" t="s">
        <v>38</v>
      </c>
      <c r="D70" s="8"/>
      <c r="E70" s="9"/>
      <c r="F70" s="8"/>
      <c r="G70" s="9"/>
      <c r="H70" s="8"/>
      <c r="I70" s="9"/>
      <c r="J70" s="8"/>
      <c r="K70" s="9"/>
      <c r="L70" s="8"/>
      <c r="M70" s="9"/>
      <c r="N70" s="34">
        <v>16</v>
      </c>
      <c r="O70" s="52">
        <v>0</v>
      </c>
      <c r="P70" s="28">
        <v>35</v>
      </c>
      <c r="Q70" s="62">
        <v>1</v>
      </c>
    </row>
    <row r="71" spans="1:17" ht="19.5" customHeight="1" thickBot="1" x14ac:dyDescent="0.2">
      <c r="A71" s="117"/>
      <c r="B71" s="107"/>
      <c r="C71" s="119"/>
      <c r="D71" s="100"/>
      <c r="E71" s="101"/>
      <c r="F71" s="100"/>
      <c r="G71" s="101"/>
      <c r="H71" s="100"/>
      <c r="I71" s="101"/>
      <c r="J71" s="100"/>
      <c r="K71" s="101"/>
      <c r="L71" s="100"/>
      <c r="M71" s="101"/>
      <c r="N71" s="19"/>
      <c r="O71" s="53">
        <f>O70/N70</f>
        <v>0</v>
      </c>
      <c r="P71" s="47">
        <f>P70/N70</f>
        <v>2.1875</v>
      </c>
      <c r="Q71" s="63">
        <f>Q70/P70</f>
        <v>2.8571428571428571E-2</v>
      </c>
    </row>
    <row r="72" spans="1:17" ht="22.5" customHeight="1" x14ac:dyDescent="0.15">
      <c r="A72" s="117"/>
      <c r="B72" s="108" t="s">
        <v>24</v>
      </c>
      <c r="C72" s="118" t="s">
        <v>21</v>
      </c>
      <c r="D72" s="8"/>
      <c r="E72" s="9"/>
      <c r="F72" s="8"/>
      <c r="G72" s="9"/>
      <c r="H72" s="8"/>
      <c r="I72" s="9"/>
      <c r="J72" s="8"/>
      <c r="K72" s="9"/>
      <c r="L72" s="8"/>
      <c r="M72" s="9"/>
      <c r="N72" s="34">
        <v>38</v>
      </c>
      <c r="O72" s="52">
        <v>2</v>
      </c>
      <c r="P72" s="28">
        <v>73</v>
      </c>
      <c r="Q72" s="62">
        <v>9</v>
      </c>
    </row>
    <row r="73" spans="1:17" ht="19.5" customHeight="1" thickBot="1" x14ac:dyDescent="0.2">
      <c r="A73" s="105"/>
      <c r="B73" s="107"/>
      <c r="C73" s="119"/>
      <c r="D73" s="100"/>
      <c r="E73" s="101"/>
      <c r="F73" s="100"/>
      <c r="G73" s="101"/>
      <c r="H73" s="100"/>
      <c r="I73" s="101"/>
      <c r="J73" s="100"/>
      <c r="K73" s="101"/>
      <c r="L73" s="100"/>
      <c r="M73" s="101"/>
      <c r="N73" s="19"/>
      <c r="O73" s="53">
        <f>O72/N72</f>
        <v>5.2631578947368418E-2</v>
      </c>
      <c r="P73" s="47">
        <f>P72/N72</f>
        <v>1.9210526315789473</v>
      </c>
      <c r="Q73" s="63">
        <f>Q72/P72</f>
        <v>0.12328767123287671</v>
      </c>
    </row>
    <row r="74" spans="1:17" ht="22.5" customHeight="1" x14ac:dyDescent="0.15">
      <c r="A74" s="104" t="s">
        <v>241</v>
      </c>
      <c r="B74" s="108" t="s">
        <v>32</v>
      </c>
      <c r="C74" s="118" t="s">
        <v>38</v>
      </c>
      <c r="D74" s="8"/>
      <c r="E74" s="9"/>
      <c r="F74" s="8"/>
      <c r="G74" s="9"/>
      <c r="H74" s="8"/>
      <c r="I74" s="9"/>
      <c r="J74" s="8"/>
      <c r="K74" s="9"/>
      <c r="L74" s="34">
        <v>18</v>
      </c>
      <c r="M74" s="52">
        <v>0</v>
      </c>
      <c r="N74" s="34">
        <v>43</v>
      </c>
      <c r="O74" s="52">
        <v>0</v>
      </c>
      <c r="P74" s="28">
        <v>85</v>
      </c>
      <c r="Q74" s="62">
        <v>0</v>
      </c>
    </row>
    <row r="75" spans="1:17" ht="19.5" customHeight="1" thickBot="1" x14ac:dyDescent="0.2">
      <c r="A75" s="117"/>
      <c r="B75" s="107"/>
      <c r="C75" s="119"/>
      <c r="D75" s="100"/>
      <c r="E75" s="101"/>
      <c r="F75" s="100"/>
      <c r="G75" s="101"/>
      <c r="H75" s="100"/>
      <c r="I75" s="101"/>
      <c r="J75" s="100"/>
      <c r="K75" s="101"/>
      <c r="L75" s="19"/>
      <c r="M75" s="53">
        <f>M74/L74</f>
        <v>0</v>
      </c>
      <c r="N75" s="47">
        <f>N74/L74</f>
        <v>2.3888888888888888</v>
      </c>
      <c r="O75" s="53">
        <f>O74/N74</f>
        <v>0</v>
      </c>
      <c r="P75" s="47">
        <f>P74/N74</f>
        <v>1.9767441860465116</v>
      </c>
      <c r="Q75" s="63">
        <f>Q74/P74</f>
        <v>0</v>
      </c>
    </row>
    <row r="76" spans="1:17" ht="22.5" customHeight="1" x14ac:dyDescent="0.15">
      <c r="A76" s="117"/>
      <c r="B76" s="108" t="s">
        <v>24</v>
      </c>
      <c r="C76" s="118" t="s">
        <v>21</v>
      </c>
      <c r="D76" s="8"/>
      <c r="E76" s="9"/>
      <c r="F76" s="8"/>
      <c r="G76" s="9"/>
      <c r="H76" s="8"/>
      <c r="I76" s="9"/>
      <c r="J76" s="8"/>
      <c r="K76" s="9"/>
      <c r="L76" s="34">
        <v>64</v>
      </c>
      <c r="M76" s="52">
        <v>1</v>
      </c>
      <c r="N76" s="34">
        <v>93</v>
      </c>
      <c r="O76" s="52">
        <v>1</v>
      </c>
      <c r="P76" s="28">
        <v>66</v>
      </c>
      <c r="Q76" s="62">
        <v>4</v>
      </c>
    </row>
    <row r="77" spans="1:17" ht="19.5" customHeight="1" thickBot="1" x14ac:dyDescent="0.2">
      <c r="A77" s="105"/>
      <c r="B77" s="107"/>
      <c r="C77" s="119"/>
      <c r="D77" s="100"/>
      <c r="E77" s="101"/>
      <c r="F77" s="100"/>
      <c r="G77" s="101"/>
      <c r="H77" s="100"/>
      <c r="I77" s="101"/>
      <c r="J77" s="100"/>
      <c r="K77" s="101"/>
      <c r="L77" s="19"/>
      <c r="M77" s="53">
        <f>M76/L76</f>
        <v>1.5625E-2</v>
      </c>
      <c r="N77" s="47">
        <f>N76/L76</f>
        <v>1.453125</v>
      </c>
      <c r="O77" s="53">
        <f>O76/N76</f>
        <v>1.0752688172043012E-2</v>
      </c>
      <c r="P77" s="47">
        <f>P76/N76</f>
        <v>0.70967741935483875</v>
      </c>
      <c r="Q77" s="63">
        <f>Q76/P76</f>
        <v>6.0606060606060608E-2</v>
      </c>
    </row>
    <row r="78" spans="1:17" ht="22.5" x14ac:dyDescent="0.15">
      <c r="A78" s="98" t="s">
        <v>66</v>
      </c>
      <c r="B78" s="104" t="s">
        <v>235</v>
      </c>
      <c r="C78" s="118" t="s">
        <v>38</v>
      </c>
      <c r="D78" s="8"/>
      <c r="E78" s="9"/>
      <c r="F78" s="8"/>
      <c r="G78" s="9"/>
      <c r="H78" s="34">
        <v>167</v>
      </c>
      <c r="I78" s="56">
        <v>0</v>
      </c>
      <c r="J78" s="34">
        <v>212</v>
      </c>
      <c r="K78" s="56">
        <v>0</v>
      </c>
      <c r="L78" s="34">
        <v>228</v>
      </c>
      <c r="M78" s="52">
        <v>0</v>
      </c>
      <c r="N78" s="34">
        <v>276</v>
      </c>
      <c r="O78" s="52">
        <v>0</v>
      </c>
      <c r="P78" s="28">
        <v>269</v>
      </c>
      <c r="Q78" s="62">
        <v>2</v>
      </c>
    </row>
    <row r="79" spans="1:17" ht="19.5" customHeight="1" thickBot="1" x14ac:dyDescent="0.2">
      <c r="A79" s="144"/>
      <c r="B79" s="105"/>
      <c r="C79" s="119"/>
      <c r="D79" s="100"/>
      <c r="E79" s="101"/>
      <c r="F79" s="96"/>
      <c r="G79" s="97"/>
      <c r="H79" s="19"/>
      <c r="I79" s="53">
        <f>I78/H78</f>
        <v>0</v>
      </c>
      <c r="J79" s="47">
        <f>J78/H78</f>
        <v>1.2694610778443114</v>
      </c>
      <c r="K79" s="53">
        <f>K78/J78</f>
        <v>0</v>
      </c>
      <c r="L79" s="47">
        <f>L78/J78</f>
        <v>1.0754716981132075</v>
      </c>
      <c r="M79" s="53">
        <f>M78/L78</f>
        <v>0</v>
      </c>
      <c r="N79" s="47">
        <f>N78/L78</f>
        <v>1.2105263157894737</v>
      </c>
      <c r="O79" s="53">
        <f>O78/N78</f>
        <v>0</v>
      </c>
      <c r="P79" s="47">
        <f>P78/N78</f>
        <v>0.97463768115942029</v>
      </c>
      <c r="Q79" s="63">
        <f>Q78/P78</f>
        <v>7.4349442379182153E-3</v>
      </c>
    </row>
    <row r="80" spans="1:17" ht="22.5" x14ac:dyDescent="0.15">
      <c r="A80" s="144"/>
      <c r="B80" s="104" t="s">
        <v>236</v>
      </c>
      <c r="C80" s="118" t="s">
        <v>14</v>
      </c>
      <c r="D80" s="6"/>
      <c r="E80" s="7"/>
      <c r="F80" s="6"/>
      <c r="G80" s="7"/>
      <c r="H80" s="26">
        <v>209</v>
      </c>
      <c r="I80" s="52">
        <v>0</v>
      </c>
      <c r="J80" s="26">
        <v>205</v>
      </c>
      <c r="K80" s="52">
        <v>0</v>
      </c>
      <c r="L80" s="26">
        <v>208</v>
      </c>
      <c r="M80" s="52">
        <v>0</v>
      </c>
      <c r="N80" s="26">
        <v>208</v>
      </c>
      <c r="O80" s="52">
        <v>0</v>
      </c>
      <c r="P80" s="28">
        <v>182</v>
      </c>
      <c r="Q80" s="62">
        <v>0</v>
      </c>
    </row>
    <row r="81" spans="1:17" ht="19.5" thickBot="1" x14ac:dyDescent="0.2">
      <c r="A81" s="144"/>
      <c r="B81" s="105"/>
      <c r="C81" s="119"/>
      <c r="D81" s="100"/>
      <c r="E81" s="97"/>
      <c r="F81" s="100"/>
      <c r="G81" s="97"/>
      <c r="H81" s="19"/>
      <c r="I81" s="53">
        <f>I80/H80</f>
        <v>0</v>
      </c>
      <c r="J81" s="47">
        <f>J80/H80</f>
        <v>0.98086124401913877</v>
      </c>
      <c r="K81" s="53">
        <f>K80/J80</f>
        <v>0</v>
      </c>
      <c r="L81" s="47">
        <f>L80/J80</f>
        <v>1.0146341463414634</v>
      </c>
      <c r="M81" s="53">
        <f>M80/L80</f>
        <v>0</v>
      </c>
      <c r="N81" s="47">
        <f>N80/L80</f>
        <v>1</v>
      </c>
      <c r="O81" s="53">
        <f>O80/N80</f>
        <v>0</v>
      </c>
      <c r="P81" s="47">
        <f>P80/N80</f>
        <v>0.875</v>
      </c>
      <c r="Q81" s="63">
        <f>Q80/P80</f>
        <v>0</v>
      </c>
    </row>
    <row r="82" spans="1:17" ht="22.5" x14ac:dyDescent="0.15">
      <c r="A82" s="144"/>
      <c r="B82" s="108" t="s">
        <v>24</v>
      </c>
      <c r="C82" s="118" t="s">
        <v>21</v>
      </c>
      <c r="D82" s="8"/>
      <c r="E82" s="9"/>
      <c r="F82" s="8"/>
      <c r="G82" s="9"/>
      <c r="H82" s="34">
        <v>172</v>
      </c>
      <c r="I82" s="56">
        <v>0</v>
      </c>
      <c r="J82" s="34">
        <v>216</v>
      </c>
      <c r="K82" s="56">
        <v>0</v>
      </c>
      <c r="L82" s="34">
        <v>256</v>
      </c>
      <c r="M82" s="52">
        <v>0</v>
      </c>
      <c r="N82" s="34">
        <v>231</v>
      </c>
      <c r="O82" s="52">
        <v>0</v>
      </c>
      <c r="P82" s="28">
        <v>189</v>
      </c>
      <c r="Q82" s="62">
        <v>0</v>
      </c>
    </row>
    <row r="83" spans="1:17" ht="19.5" thickBot="1" x14ac:dyDescent="0.2">
      <c r="A83" s="144"/>
      <c r="B83" s="107"/>
      <c r="C83" s="119"/>
      <c r="D83" s="100"/>
      <c r="E83" s="101"/>
      <c r="F83" s="100"/>
      <c r="G83" s="101"/>
      <c r="H83" s="19"/>
      <c r="I83" s="53">
        <f>I82/H82</f>
        <v>0</v>
      </c>
      <c r="J83" s="47">
        <f>J82/H82</f>
        <v>1.2558139534883721</v>
      </c>
      <c r="K83" s="53">
        <f>K82/J82</f>
        <v>0</v>
      </c>
      <c r="L83" s="47">
        <f>L82/J82</f>
        <v>1.1851851851851851</v>
      </c>
      <c r="M83" s="53">
        <f>M82/L82</f>
        <v>0</v>
      </c>
      <c r="N83" s="47">
        <f>N82/L82</f>
        <v>0.90234375</v>
      </c>
      <c r="O83" s="53">
        <f>O82/N82</f>
        <v>0</v>
      </c>
      <c r="P83" s="47">
        <f>P82/N82</f>
        <v>0.81818181818181823</v>
      </c>
      <c r="Q83" s="63">
        <f>Q82/P82</f>
        <v>0</v>
      </c>
    </row>
    <row r="84" spans="1:17" ht="22.5" x14ac:dyDescent="0.15">
      <c r="A84" s="144"/>
      <c r="B84" s="108" t="s">
        <v>237</v>
      </c>
      <c r="C84" s="118" t="s">
        <v>21</v>
      </c>
      <c r="D84" s="8"/>
      <c r="E84" s="9"/>
      <c r="F84" s="8"/>
      <c r="G84" s="9"/>
      <c r="H84" s="34">
        <v>182</v>
      </c>
      <c r="I84" s="56">
        <v>1</v>
      </c>
      <c r="J84" s="34">
        <v>174</v>
      </c>
      <c r="K84" s="56">
        <v>0</v>
      </c>
      <c r="L84" s="34">
        <v>155</v>
      </c>
      <c r="M84" s="52">
        <v>0</v>
      </c>
      <c r="N84" s="34">
        <v>94</v>
      </c>
      <c r="O84" s="52">
        <v>0</v>
      </c>
      <c r="P84" s="28">
        <v>53</v>
      </c>
      <c r="Q84" s="62">
        <v>0</v>
      </c>
    </row>
    <row r="85" spans="1:17" ht="19.5" thickBot="1" x14ac:dyDescent="0.2">
      <c r="A85" s="99"/>
      <c r="B85" s="107"/>
      <c r="C85" s="119"/>
      <c r="D85" s="101"/>
      <c r="E85" s="113"/>
      <c r="F85" s="101"/>
      <c r="G85" s="113"/>
      <c r="H85" s="19"/>
      <c r="I85" s="53">
        <f>I84/H84</f>
        <v>5.4945054945054949E-3</v>
      </c>
      <c r="J85" s="47">
        <f>J84/H84</f>
        <v>0.95604395604395609</v>
      </c>
      <c r="K85" s="53">
        <f>K84/J84</f>
        <v>0</v>
      </c>
      <c r="L85" s="47">
        <f>L84/J84</f>
        <v>0.89080459770114939</v>
      </c>
      <c r="M85" s="53">
        <f>M84/L84</f>
        <v>0</v>
      </c>
      <c r="N85" s="47">
        <f>N84/L84</f>
        <v>0.6064516129032258</v>
      </c>
      <c r="O85" s="53">
        <f>O84/N84</f>
        <v>0</v>
      </c>
      <c r="P85" s="47">
        <f>P84/N84</f>
        <v>0.56382978723404253</v>
      </c>
      <c r="Q85" s="63">
        <f>Q84/P84</f>
        <v>0</v>
      </c>
    </row>
    <row r="86" spans="1:17" ht="22.5" x14ac:dyDescent="0.15">
      <c r="A86" s="98" t="s">
        <v>324</v>
      </c>
      <c r="B86" s="104" t="s">
        <v>93</v>
      </c>
      <c r="C86" s="118" t="s">
        <v>14</v>
      </c>
      <c r="D86" s="8"/>
      <c r="E86" s="9"/>
      <c r="F86" s="8"/>
      <c r="G86" s="9"/>
      <c r="H86" s="34">
        <v>23</v>
      </c>
      <c r="I86" s="52">
        <v>0</v>
      </c>
      <c r="J86" s="34">
        <v>57</v>
      </c>
      <c r="K86" s="56">
        <v>0</v>
      </c>
      <c r="L86" s="34">
        <v>89</v>
      </c>
      <c r="M86" s="52">
        <v>0</v>
      </c>
      <c r="N86" s="34">
        <v>107</v>
      </c>
      <c r="O86" s="52">
        <v>1</v>
      </c>
      <c r="P86" s="28">
        <v>106</v>
      </c>
      <c r="Q86" s="62">
        <v>3</v>
      </c>
    </row>
    <row r="87" spans="1:17" ht="19.5" customHeight="1" thickBot="1" x14ac:dyDescent="0.2">
      <c r="A87" s="144"/>
      <c r="B87" s="105"/>
      <c r="C87" s="119"/>
      <c r="D87" s="101"/>
      <c r="E87" s="113"/>
      <c r="F87" s="101"/>
      <c r="G87" s="113"/>
      <c r="H87" s="19"/>
      <c r="I87" s="53">
        <f>I86/H86</f>
        <v>0</v>
      </c>
      <c r="J87" s="47">
        <f>J86/H86</f>
        <v>2.4782608695652173</v>
      </c>
      <c r="K87" s="53">
        <f>K86/J86</f>
        <v>0</v>
      </c>
      <c r="L87" s="47">
        <f>L86/J86</f>
        <v>1.5614035087719298</v>
      </c>
      <c r="M87" s="53">
        <f>M86/L86</f>
        <v>0</v>
      </c>
      <c r="N87" s="47">
        <f>N86/L86</f>
        <v>1.202247191011236</v>
      </c>
      <c r="O87" s="53">
        <f>O86/N86</f>
        <v>9.3457943925233638E-3</v>
      </c>
      <c r="P87" s="47">
        <f>P86/N86</f>
        <v>0.99065420560747663</v>
      </c>
      <c r="Q87" s="63">
        <f>Q86/P86</f>
        <v>2.8301886792452831E-2</v>
      </c>
    </row>
    <row r="88" spans="1:17" ht="22.5" x14ac:dyDescent="0.15">
      <c r="A88" s="144"/>
      <c r="B88" s="104" t="s">
        <v>32</v>
      </c>
      <c r="C88" s="118" t="s">
        <v>38</v>
      </c>
      <c r="D88" s="26">
        <v>20</v>
      </c>
      <c r="E88" s="52">
        <v>0</v>
      </c>
      <c r="F88" s="26">
        <v>53</v>
      </c>
      <c r="G88" s="52">
        <v>2</v>
      </c>
      <c r="H88" s="26">
        <v>50</v>
      </c>
      <c r="I88" s="52">
        <v>2</v>
      </c>
      <c r="J88" s="26">
        <v>34</v>
      </c>
      <c r="K88" s="52">
        <v>2</v>
      </c>
      <c r="L88" s="26">
        <v>26</v>
      </c>
      <c r="M88" s="52">
        <v>0</v>
      </c>
      <c r="N88" s="26">
        <v>51</v>
      </c>
      <c r="O88" s="52">
        <v>2</v>
      </c>
      <c r="P88" s="28">
        <v>79</v>
      </c>
      <c r="Q88" s="62">
        <v>4</v>
      </c>
    </row>
    <row r="89" spans="1:17" ht="19.5" thickBot="1" x14ac:dyDescent="0.2">
      <c r="A89" s="144"/>
      <c r="B89" s="105"/>
      <c r="C89" s="119"/>
      <c r="D89" s="19"/>
      <c r="E89" s="53">
        <f>E88/D88</f>
        <v>0</v>
      </c>
      <c r="F89" s="47">
        <f>F88/D88</f>
        <v>2.65</v>
      </c>
      <c r="G89" s="53">
        <f>G88/F88</f>
        <v>3.7735849056603772E-2</v>
      </c>
      <c r="H89" s="47">
        <f>H88/F88</f>
        <v>0.94339622641509435</v>
      </c>
      <c r="I89" s="53">
        <f>I88/H88</f>
        <v>0.04</v>
      </c>
      <c r="J89" s="47">
        <f>J88/H88</f>
        <v>0.68</v>
      </c>
      <c r="K89" s="53">
        <f>K88/J88</f>
        <v>5.8823529411764705E-2</v>
      </c>
      <c r="L89" s="47">
        <f>L88/J88</f>
        <v>0.76470588235294112</v>
      </c>
      <c r="M89" s="53">
        <f>M88/L88</f>
        <v>0</v>
      </c>
      <c r="N89" s="47">
        <f>N88/L88</f>
        <v>1.9615384615384615</v>
      </c>
      <c r="O89" s="53">
        <f>O88/N88</f>
        <v>3.9215686274509803E-2</v>
      </c>
      <c r="P89" s="47">
        <f>P88/N88</f>
        <v>1.5490196078431373</v>
      </c>
      <c r="Q89" s="63">
        <f>Q88/P88</f>
        <v>5.0632911392405063E-2</v>
      </c>
    </row>
    <row r="90" spans="1:17" ht="22.5" x14ac:dyDescent="0.15">
      <c r="A90" s="144"/>
      <c r="B90" s="108" t="s">
        <v>325</v>
      </c>
      <c r="C90" s="118" t="s">
        <v>21</v>
      </c>
      <c r="D90" s="34">
        <v>150</v>
      </c>
      <c r="E90" s="56">
        <v>4</v>
      </c>
      <c r="F90" s="34">
        <v>166</v>
      </c>
      <c r="G90" s="56">
        <v>3</v>
      </c>
      <c r="H90" s="34">
        <v>96</v>
      </c>
      <c r="I90" s="52">
        <v>0</v>
      </c>
      <c r="J90" s="34">
        <v>173</v>
      </c>
      <c r="K90" s="56">
        <v>3</v>
      </c>
      <c r="L90" s="34">
        <v>163</v>
      </c>
      <c r="M90" s="52">
        <v>1</v>
      </c>
      <c r="N90" s="34">
        <v>135</v>
      </c>
      <c r="O90" s="52">
        <v>3</v>
      </c>
      <c r="P90" s="28">
        <v>96</v>
      </c>
      <c r="Q90" s="62">
        <v>6</v>
      </c>
    </row>
    <row r="91" spans="1:17" ht="19.5" thickBot="1" x14ac:dyDescent="0.2">
      <c r="A91" s="99"/>
      <c r="B91" s="107"/>
      <c r="C91" s="119"/>
      <c r="D91" s="19"/>
      <c r="E91" s="53">
        <f>E90/D90</f>
        <v>2.6666666666666668E-2</v>
      </c>
      <c r="F91" s="47">
        <f>F90/D90</f>
        <v>1.1066666666666667</v>
      </c>
      <c r="G91" s="53">
        <f>G90/F90</f>
        <v>1.8072289156626505E-2</v>
      </c>
      <c r="H91" s="47">
        <f>H90/F90</f>
        <v>0.57831325301204817</v>
      </c>
      <c r="I91" s="53">
        <f>I90/H90</f>
        <v>0</v>
      </c>
      <c r="J91" s="47">
        <f>J90/H90</f>
        <v>1.8020833333333333</v>
      </c>
      <c r="K91" s="53">
        <f>K90/J90</f>
        <v>1.7341040462427744E-2</v>
      </c>
      <c r="L91" s="47">
        <f>L90/J90</f>
        <v>0.94219653179190754</v>
      </c>
      <c r="M91" s="53">
        <f>M90/L90</f>
        <v>6.1349693251533744E-3</v>
      </c>
      <c r="N91" s="47">
        <f>N90/L90</f>
        <v>0.82822085889570551</v>
      </c>
      <c r="O91" s="53">
        <f>O90/N90</f>
        <v>2.2222222222222223E-2</v>
      </c>
      <c r="P91" s="47">
        <f>P90/N90</f>
        <v>0.71111111111111114</v>
      </c>
      <c r="Q91" s="63">
        <f>Q90/P90</f>
        <v>6.25E-2</v>
      </c>
    </row>
    <row r="92" spans="1:17" ht="22.5" x14ac:dyDescent="0.15">
      <c r="A92" s="98" t="s">
        <v>11</v>
      </c>
      <c r="B92" s="104" t="s">
        <v>24</v>
      </c>
      <c r="C92" s="118" t="s">
        <v>328</v>
      </c>
      <c r="D92" s="8"/>
      <c r="E92" s="9"/>
      <c r="F92" s="8"/>
      <c r="G92" s="9"/>
      <c r="H92" s="34">
        <v>76</v>
      </c>
      <c r="I92" s="52">
        <v>12</v>
      </c>
      <c r="J92" s="34">
        <v>60</v>
      </c>
      <c r="K92" s="56">
        <v>10</v>
      </c>
      <c r="L92" s="34">
        <v>46</v>
      </c>
      <c r="M92" s="52">
        <v>6</v>
      </c>
      <c r="N92" s="34">
        <v>46</v>
      </c>
      <c r="O92" s="52">
        <v>20</v>
      </c>
      <c r="P92" s="28">
        <v>72</v>
      </c>
      <c r="Q92" s="62">
        <v>46</v>
      </c>
    </row>
    <row r="93" spans="1:17" ht="19.5" customHeight="1" thickBot="1" x14ac:dyDescent="0.2">
      <c r="A93" s="144"/>
      <c r="B93" s="105"/>
      <c r="C93" s="119"/>
      <c r="D93" s="101"/>
      <c r="E93" s="113"/>
      <c r="F93" s="101"/>
      <c r="G93" s="113"/>
      <c r="H93" s="19"/>
      <c r="I93" s="53">
        <f>I92/H92</f>
        <v>0.15789473684210525</v>
      </c>
      <c r="J93" s="47">
        <f>J92/H92</f>
        <v>0.78947368421052633</v>
      </c>
      <c r="K93" s="53">
        <f>K92/J92</f>
        <v>0.16666666666666666</v>
      </c>
      <c r="L93" s="47">
        <f>L92/J92</f>
        <v>0.76666666666666672</v>
      </c>
      <c r="M93" s="53">
        <f>M92/L92</f>
        <v>0.13043478260869565</v>
      </c>
      <c r="N93" s="47">
        <f>N92/L92</f>
        <v>1</v>
      </c>
      <c r="O93" s="53">
        <f>O92/N92</f>
        <v>0.43478260869565216</v>
      </c>
      <c r="P93" s="47">
        <f>P92/N92</f>
        <v>1.5652173913043479</v>
      </c>
      <c r="Q93" s="63">
        <f>Q92/P92</f>
        <v>0.63888888888888884</v>
      </c>
    </row>
    <row r="94" spans="1:17" ht="22.5" x14ac:dyDescent="0.15">
      <c r="A94" s="144"/>
      <c r="B94" s="104" t="s">
        <v>327</v>
      </c>
      <c r="C94" s="118" t="s">
        <v>38</v>
      </c>
      <c r="D94" s="8"/>
      <c r="E94" s="9"/>
      <c r="F94" s="8"/>
      <c r="G94" s="9"/>
      <c r="H94" s="8"/>
      <c r="I94" s="9"/>
      <c r="J94" s="26">
        <v>10</v>
      </c>
      <c r="K94" s="52">
        <v>1</v>
      </c>
      <c r="L94" s="26">
        <v>16</v>
      </c>
      <c r="M94" s="52">
        <v>3</v>
      </c>
      <c r="N94" s="26">
        <v>24</v>
      </c>
      <c r="O94" s="52">
        <v>14</v>
      </c>
      <c r="P94" s="28">
        <v>43</v>
      </c>
      <c r="Q94" s="62">
        <v>35</v>
      </c>
    </row>
    <row r="95" spans="1:17" ht="19.5" thickBot="1" x14ac:dyDescent="0.2">
      <c r="A95" s="144"/>
      <c r="B95" s="105"/>
      <c r="C95" s="119"/>
      <c r="D95" s="101"/>
      <c r="E95" s="113"/>
      <c r="F95" s="101"/>
      <c r="G95" s="113"/>
      <c r="H95" s="101"/>
      <c r="I95" s="113"/>
      <c r="J95" s="19"/>
      <c r="K95" s="53">
        <f>K94/J94</f>
        <v>0.1</v>
      </c>
      <c r="L95" s="47">
        <f>L94/J94</f>
        <v>1.6</v>
      </c>
      <c r="M95" s="53">
        <f>M94/L94</f>
        <v>0.1875</v>
      </c>
      <c r="N95" s="47">
        <f>N94/L94</f>
        <v>1.5</v>
      </c>
      <c r="O95" s="53">
        <f>O94/N94</f>
        <v>0.58333333333333337</v>
      </c>
      <c r="P95" s="47">
        <f>P94/N94</f>
        <v>1.7916666666666667</v>
      </c>
      <c r="Q95" s="63">
        <f>Q94/P94</f>
        <v>0.81395348837209303</v>
      </c>
    </row>
    <row r="96" spans="1:17" ht="22.5" x14ac:dyDescent="0.15">
      <c r="A96" s="144"/>
      <c r="B96" s="108" t="s">
        <v>121</v>
      </c>
      <c r="C96" s="118" t="s">
        <v>21</v>
      </c>
      <c r="D96" s="8"/>
      <c r="E96" s="9"/>
      <c r="F96" s="8"/>
      <c r="G96" s="9"/>
      <c r="H96" s="8"/>
      <c r="I96" s="9"/>
      <c r="J96" s="34">
        <v>9</v>
      </c>
      <c r="K96" s="56">
        <v>2</v>
      </c>
      <c r="L96" s="34">
        <v>9</v>
      </c>
      <c r="M96" s="52">
        <v>3</v>
      </c>
      <c r="N96" s="34">
        <v>24</v>
      </c>
      <c r="O96" s="52">
        <v>11</v>
      </c>
      <c r="P96" s="28">
        <v>33</v>
      </c>
      <c r="Q96" s="62">
        <v>26</v>
      </c>
    </row>
    <row r="97" spans="1:17" ht="19.5" thickBot="1" x14ac:dyDescent="0.2">
      <c r="A97" s="99"/>
      <c r="B97" s="107"/>
      <c r="C97" s="119"/>
      <c r="D97" s="101"/>
      <c r="E97" s="113"/>
      <c r="F97" s="101"/>
      <c r="G97" s="113"/>
      <c r="H97" s="101"/>
      <c r="I97" s="113"/>
      <c r="J97" s="19"/>
      <c r="K97" s="53">
        <f>K96/J96</f>
        <v>0.22222222222222221</v>
      </c>
      <c r="L97" s="47">
        <f>L96/J96</f>
        <v>1</v>
      </c>
      <c r="M97" s="53">
        <f>M96/L96</f>
        <v>0.33333333333333331</v>
      </c>
      <c r="N97" s="47">
        <f>N96/L96</f>
        <v>2.6666666666666665</v>
      </c>
      <c r="O97" s="53">
        <f>O96/N96</f>
        <v>0.45833333333333331</v>
      </c>
      <c r="P97" s="47">
        <f>P96/N96</f>
        <v>1.375</v>
      </c>
      <c r="Q97" s="63">
        <f>Q96/P96</f>
        <v>0.78787878787878785</v>
      </c>
    </row>
    <row r="102" spans="1:17" ht="19.5" customHeight="1" x14ac:dyDescent="0.15"/>
    <row r="106" spans="1:17" ht="19.5" customHeight="1" x14ac:dyDescent="0.15"/>
    <row r="110" spans="1:17" ht="18.75" customHeight="1" x14ac:dyDescent="0.15"/>
    <row r="112" spans="1:17" ht="18.75" customHeight="1" x14ac:dyDescent="0.15"/>
    <row r="114" ht="18.75" customHeight="1" x14ac:dyDescent="0.15"/>
    <row r="116" ht="19.5" customHeight="1" x14ac:dyDescent="0.15"/>
    <row r="118" ht="18.75" customHeight="1" x14ac:dyDescent="0.15"/>
    <row r="120" ht="18.75" customHeight="1" x14ac:dyDescent="0.15"/>
    <row r="122" ht="18.75" customHeight="1" x14ac:dyDescent="0.15"/>
    <row r="124" ht="18.75" customHeight="1" x14ac:dyDescent="0.15"/>
    <row r="126" ht="18.75" customHeight="1" x14ac:dyDescent="0.15"/>
    <row r="128" ht="18.75" customHeight="1" x14ac:dyDescent="0.15"/>
    <row r="130" ht="18.75" customHeight="1" x14ac:dyDescent="0.15"/>
    <row r="132" ht="18.75" customHeight="1" x14ac:dyDescent="0.15"/>
    <row r="134" ht="18.75" customHeight="1" x14ac:dyDescent="0.15"/>
    <row r="136" ht="18.75" customHeight="1" x14ac:dyDescent="0.15"/>
  </sheetData>
  <mergeCells count="202">
    <mergeCell ref="H95:I95"/>
    <mergeCell ref="H97:I97"/>
    <mergeCell ref="A92:A97"/>
    <mergeCell ref="B92:B93"/>
    <mergeCell ref="C92:C93"/>
    <mergeCell ref="D93:E93"/>
    <mergeCell ref="F93:G93"/>
    <mergeCell ref="B94:B95"/>
    <mergeCell ref="C94:C95"/>
    <mergeCell ref="B96:B97"/>
    <mergeCell ref="C96:C97"/>
    <mergeCell ref="D95:E95"/>
    <mergeCell ref="F95:G95"/>
    <mergeCell ref="D97:E97"/>
    <mergeCell ref="F97:G97"/>
    <mergeCell ref="A86:A91"/>
    <mergeCell ref="B86:B87"/>
    <mergeCell ref="C86:C87"/>
    <mergeCell ref="D87:E87"/>
    <mergeCell ref="F87:G87"/>
    <mergeCell ref="B88:B89"/>
    <mergeCell ref="C88:C89"/>
    <mergeCell ref="B90:B91"/>
    <mergeCell ref="C90:C91"/>
    <mergeCell ref="D3:E3"/>
    <mergeCell ref="F3:G3"/>
    <mergeCell ref="H3:I3"/>
    <mergeCell ref="J3:K3"/>
    <mergeCell ref="L3:M3"/>
    <mergeCell ref="N3:O3"/>
    <mergeCell ref="A36:A41"/>
    <mergeCell ref="B36:B37"/>
    <mergeCell ref="C36:C37"/>
    <mergeCell ref="D37:E37"/>
    <mergeCell ref="F37:G37"/>
    <mergeCell ref="H37:I37"/>
    <mergeCell ref="J37:K37"/>
    <mergeCell ref="L37:M37"/>
    <mergeCell ref="N37:O37"/>
    <mergeCell ref="B38:B39"/>
    <mergeCell ref="C38:C39"/>
    <mergeCell ref="D39:E39"/>
    <mergeCell ref="F39:G39"/>
    <mergeCell ref="H39:I39"/>
    <mergeCell ref="J39:K39"/>
    <mergeCell ref="L39:M39"/>
    <mergeCell ref="N39:O39"/>
    <mergeCell ref="B40:B41"/>
    <mergeCell ref="B34:B35"/>
    <mergeCell ref="C34:C35"/>
    <mergeCell ref="D35:E35"/>
    <mergeCell ref="F35:G35"/>
    <mergeCell ref="N41:O41"/>
    <mergeCell ref="D17:E17"/>
    <mergeCell ref="B6:B7"/>
    <mergeCell ref="C6:C7"/>
    <mergeCell ref="C10:C11"/>
    <mergeCell ref="C40:C41"/>
    <mergeCell ref="D41:E41"/>
    <mergeCell ref="F41:G41"/>
    <mergeCell ref="H41:I41"/>
    <mergeCell ref="J41:K41"/>
    <mergeCell ref="L41:M41"/>
    <mergeCell ref="B20:B21"/>
    <mergeCell ref="C20:C21"/>
    <mergeCell ref="B16:B17"/>
    <mergeCell ref="C16:C17"/>
    <mergeCell ref="B8:B9"/>
    <mergeCell ref="C8:C9"/>
    <mergeCell ref="D9:E9"/>
    <mergeCell ref="B18:B19"/>
    <mergeCell ref="C18:C19"/>
    <mergeCell ref="A22:A25"/>
    <mergeCell ref="A26:A35"/>
    <mergeCell ref="B30:B31"/>
    <mergeCell ref="B26:B27"/>
    <mergeCell ref="C26:C27"/>
    <mergeCell ref="D27:E27"/>
    <mergeCell ref="F27:G27"/>
    <mergeCell ref="B10:B11"/>
    <mergeCell ref="B60:B61"/>
    <mergeCell ref="C60:C61"/>
    <mergeCell ref="D61:E61"/>
    <mergeCell ref="F61:G61"/>
    <mergeCell ref="B52:B53"/>
    <mergeCell ref="C52:C53"/>
    <mergeCell ref="B56:B57"/>
    <mergeCell ref="C56:C57"/>
    <mergeCell ref="D57:E57"/>
    <mergeCell ref="B54:B55"/>
    <mergeCell ref="C54:C55"/>
    <mergeCell ref="D55:E55"/>
    <mergeCell ref="B58:B59"/>
    <mergeCell ref="C58:C59"/>
    <mergeCell ref="D59:E59"/>
    <mergeCell ref="B42:B43"/>
    <mergeCell ref="P3:Q3"/>
    <mergeCell ref="B44:B45"/>
    <mergeCell ref="C44:C45"/>
    <mergeCell ref="D45:E45"/>
    <mergeCell ref="B46:B47"/>
    <mergeCell ref="C46:C47"/>
    <mergeCell ref="B50:B51"/>
    <mergeCell ref="C50:C51"/>
    <mergeCell ref="B48:B49"/>
    <mergeCell ref="C48:C49"/>
    <mergeCell ref="B32:B33"/>
    <mergeCell ref="C32:C33"/>
    <mergeCell ref="D33:E33"/>
    <mergeCell ref="F33:G33"/>
    <mergeCell ref="C30:C31"/>
    <mergeCell ref="D31:E31"/>
    <mergeCell ref="F31:G31"/>
    <mergeCell ref="B24:B25"/>
    <mergeCell ref="C24:C25"/>
    <mergeCell ref="B22:B23"/>
    <mergeCell ref="C22:C23"/>
    <mergeCell ref="B28:B29"/>
    <mergeCell ref="C28:C29"/>
    <mergeCell ref="D29:E29"/>
    <mergeCell ref="A42:A53"/>
    <mergeCell ref="B64:B65"/>
    <mergeCell ref="C64:C65"/>
    <mergeCell ref="D65:E65"/>
    <mergeCell ref="B62:B63"/>
    <mergeCell ref="B78:B79"/>
    <mergeCell ref="D79:E79"/>
    <mergeCell ref="D63:E63"/>
    <mergeCell ref="C78:C79"/>
    <mergeCell ref="C62:C63"/>
    <mergeCell ref="B66:B67"/>
    <mergeCell ref="C66:C67"/>
    <mergeCell ref="D67:E67"/>
    <mergeCell ref="C42:C43"/>
    <mergeCell ref="B68:B69"/>
    <mergeCell ref="C68:C69"/>
    <mergeCell ref="D69:E69"/>
    <mergeCell ref="A62:A65"/>
    <mergeCell ref="A66:A69"/>
    <mergeCell ref="F85:G85"/>
    <mergeCell ref="B80:B81"/>
    <mergeCell ref="C80:C81"/>
    <mergeCell ref="D81:E81"/>
    <mergeCell ref="F81:G81"/>
    <mergeCell ref="B76:B77"/>
    <mergeCell ref="C76:C77"/>
    <mergeCell ref="D77:E77"/>
    <mergeCell ref="A70:A73"/>
    <mergeCell ref="A74:A77"/>
    <mergeCell ref="A78:A85"/>
    <mergeCell ref="F79:G79"/>
    <mergeCell ref="B82:B83"/>
    <mergeCell ref="C82:C83"/>
    <mergeCell ref="D83:E83"/>
    <mergeCell ref="F83:G83"/>
    <mergeCell ref="B84:B85"/>
    <mergeCell ref="C84:C85"/>
    <mergeCell ref="D85:E85"/>
    <mergeCell ref="B70:B71"/>
    <mergeCell ref="C70:C71"/>
    <mergeCell ref="D71:E71"/>
    <mergeCell ref="F77:G77"/>
    <mergeCell ref="F67:G67"/>
    <mergeCell ref="H77:I77"/>
    <mergeCell ref="J77:K77"/>
    <mergeCell ref="L67:M67"/>
    <mergeCell ref="N67:O67"/>
    <mergeCell ref="F69:G69"/>
    <mergeCell ref="H69:I69"/>
    <mergeCell ref="J69:K69"/>
    <mergeCell ref="L69:M69"/>
    <mergeCell ref="N69:O69"/>
    <mergeCell ref="F71:G71"/>
    <mergeCell ref="H71:I71"/>
    <mergeCell ref="J71:K71"/>
    <mergeCell ref="L71:M71"/>
    <mergeCell ref="H67:I67"/>
    <mergeCell ref="J67:K67"/>
    <mergeCell ref="A6:A13"/>
    <mergeCell ref="A14:A21"/>
    <mergeCell ref="F73:G73"/>
    <mergeCell ref="H73:I73"/>
    <mergeCell ref="J73:K73"/>
    <mergeCell ref="L73:M73"/>
    <mergeCell ref="F75:G75"/>
    <mergeCell ref="H75:I75"/>
    <mergeCell ref="J75:K75"/>
    <mergeCell ref="B72:B73"/>
    <mergeCell ref="C72:C73"/>
    <mergeCell ref="D73:E73"/>
    <mergeCell ref="B74:B75"/>
    <mergeCell ref="C74:C75"/>
    <mergeCell ref="D75:E75"/>
    <mergeCell ref="A54:A61"/>
    <mergeCell ref="F57:G57"/>
    <mergeCell ref="F55:G55"/>
    <mergeCell ref="F59:G59"/>
    <mergeCell ref="F29:G29"/>
    <mergeCell ref="B14:B15"/>
    <mergeCell ref="C14:C15"/>
    <mergeCell ref="B12:B13"/>
    <mergeCell ref="C12:C13"/>
  </mergeCells>
  <phoneticPr fontId="2"/>
  <conditionalFormatting sqref="F91 H91 J91 L91 N91 P91 P89 N89 L89 J89 H89 F89 J87 L87 N87 P87 P85 N85 L85 J85 J83 L83 N83 P83 P81 N81 L81 J81 J79 L79 N79 P79 N77 P77 N75 P75 P73 P71 H65 J65 L65 N65 P65 P63 N63 L63 J61 L61 N61 P61 P59 N59 L59 J59 J57 L57 N57 P57 P55 N55 L55 J55 P53 P51 N53 N51 L53 L51 J53 J51 H53 H51 F53 F51 F49 H49 J49 L49 N49 P49 P47 N47 L47 J47 H47 F47 H45 J45 L45 N45 P45 N43 L43 J43 H43 F43 J35 L35 N35 P35 P33 N33 L33 J33 P31 N31 L31 J31 J29 L29 N29 P29 P27 N27 L27 J27 P25 P23 N25 N23 L25 L23 J25 J23 H25 H23 F25 F23 F21 H21 J21 L21 N21 P21 P19 N19 L19 J19 H19 F19 H17 J17 L17 N17 P17 P15 N15 L15 J15 H15 F15 F13 H13 J13 L13 N13 P13 P11 N11 L11 J11 H11 F11 H9 J9 L9 N9 P9 P7 N7 L7 J7 H7 F7">
    <cfRule type="cellIs" dxfId="19" priority="5" operator="lessThan">
      <formula>1</formula>
    </cfRule>
    <cfRule type="cellIs" dxfId="18" priority="6" operator="greaterThanOrEqual">
      <formula>1</formula>
    </cfRule>
  </conditionalFormatting>
  <conditionalFormatting sqref="L97 N97 P97 P95 N95 L95 J93 L93 N93 P93">
    <cfRule type="cellIs" dxfId="17" priority="3" operator="lessThan">
      <formula>1</formula>
    </cfRule>
    <cfRule type="cellIs" dxfId="16" priority="4" operator="greaterThanOrEqual">
      <formula>1</formula>
    </cfRule>
  </conditionalFormatting>
  <conditionalFormatting sqref="P43">
    <cfRule type="cellIs" dxfId="3" priority="1" operator="lessThan">
      <formula>1</formula>
    </cfRule>
    <cfRule type="cellIs" dxfId="2" priority="2" operator="greaterThanOrEqual">
      <formula>1</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8DBC-0EB3-40B4-BF31-5B79F66390F7}">
  <dimension ref="A2:Q68"/>
  <sheetViews>
    <sheetView showGridLines="0" topLeftCell="A10" zoomScale="80" zoomScaleNormal="80" workbookViewId="0">
      <selection activeCell="T17" sqref="T17"/>
    </sheetView>
  </sheetViews>
  <sheetFormatPr defaultRowHeight="18.75" x14ac:dyDescent="0.15"/>
  <cols>
    <col min="1" max="1" width="27.875" style="1" customWidth="1"/>
    <col min="2" max="2" width="29.125" style="2" customWidth="1"/>
    <col min="3" max="3" width="8.625" style="2" customWidth="1"/>
    <col min="4" max="4" width="6.875" style="1" bestFit="1" customWidth="1"/>
    <col min="5" max="5" width="7.5" style="1" bestFit="1" customWidth="1"/>
    <col min="6" max="6" width="9.75" style="1" bestFit="1" customWidth="1"/>
    <col min="7" max="7" width="7.625" style="1" bestFit="1" customWidth="1"/>
    <col min="8" max="8" width="9.75" style="1" bestFit="1" customWidth="1"/>
    <col min="9" max="9" width="7.625" style="1" bestFit="1" customWidth="1"/>
    <col min="10" max="10" width="10.25" style="1" bestFit="1" customWidth="1"/>
    <col min="11" max="11" width="7.625" style="1" bestFit="1" customWidth="1"/>
    <col min="12" max="12" width="10.25" style="1" bestFit="1" customWidth="1"/>
    <col min="13" max="13" width="7.625" style="1" bestFit="1" customWidth="1"/>
    <col min="14" max="14" width="10.25" style="1" bestFit="1" customWidth="1"/>
    <col min="15" max="15" width="7.625" style="1" bestFit="1" customWidth="1"/>
    <col min="16" max="16" width="9" style="1"/>
    <col min="17" max="17" width="7.62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18.75" customHeight="1" x14ac:dyDescent="0.15">
      <c r="A6" s="139" t="s">
        <v>0</v>
      </c>
      <c r="B6" s="141" t="s">
        <v>248</v>
      </c>
      <c r="C6" s="142" t="s">
        <v>21</v>
      </c>
      <c r="D6" s="25">
        <v>108</v>
      </c>
      <c r="E6" s="50">
        <v>3</v>
      </c>
      <c r="F6" s="25">
        <v>139</v>
      </c>
      <c r="G6" s="50">
        <v>7</v>
      </c>
      <c r="H6" s="25">
        <v>133</v>
      </c>
      <c r="I6" s="50">
        <v>4</v>
      </c>
      <c r="J6" s="25">
        <v>106</v>
      </c>
      <c r="K6" s="50">
        <v>2</v>
      </c>
      <c r="L6" s="25">
        <v>91</v>
      </c>
      <c r="M6" s="50">
        <v>3</v>
      </c>
      <c r="N6" s="25">
        <v>108</v>
      </c>
      <c r="O6" s="50">
        <v>8</v>
      </c>
      <c r="P6" s="30">
        <v>91</v>
      </c>
      <c r="Q6" s="60">
        <v>14</v>
      </c>
    </row>
    <row r="7" spans="1:17" ht="19.5" thickBot="1" x14ac:dyDescent="0.2">
      <c r="A7" s="131"/>
      <c r="B7" s="112"/>
      <c r="C7" s="143"/>
      <c r="D7" s="24"/>
      <c r="E7" s="51">
        <f>E6/D6</f>
        <v>2.7777777777777776E-2</v>
      </c>
      <c r="F7" s="16">
        <f>F6/D6</f>
        <v>1.287037037037037</v>
      </c>
      <c r="G7" s="57">
        <f>G6/F6</f>
        <v>5.0359712230215826E-2</v>
      </c>
      <c r="H7" s="16">
        <f>H6/F6</f>
        <v>0.95683453237410077</v>
      </c>
      <c r="I7" s="57">
        <f>I6/H6</f>
        <v>3.007518796992481E-2</v>
      </c>
      <c r="J7" s="16">
        <f>J6/H6</f>
        <v>0.79699248120300747</v>
      </c>
      <c r="K7" s="57">
        <f>K6/J6</f>
        <v>1.8867924528301886E-2</v>
      </c>
      <c r="L7" s="16">
        <f>L6/J6</f>
        <v>0.85849056603773588</v>
      </c>
      <c r="M7" s="57">
        <f>M6/L6</f>
        <v>3.2967032967032968E-2</v>
      </c>
      <c r="N7" s="16">
        <f>N6/L6</f>
        <v>1.1868131868131868</v>
      </c>
      <c r="O7" s="57">
        <f>O6/N6</f>
        <v>7.407407407407407E-2</v>
      </c>
      <c r="P7" s="16">
        <f>P6/N6</f>
        <v>0.84259259259259256</v>
      </c>
      <c r="Q7" s="57">
        <f>Q6/P6</f>
        <v>0.15384615384615385</v>
      </c>
    </row>
    <row r="8" spans="1:17" ht="18.75" customHeight="1" x14ac:dyDescent="0.15">
      <c r="A8" s="139" t="s">
        <v>1</v>
      </c>
      <c r="B8" s="141" t="s">
        <v>248</v>
      </c>
      <c r="C8" s="142" t="s">
        <v>21</v>
      </c>
      <c r="D8" s="25">
        <v>88</v>
      </c>
      <c r="E8" s="50">
        <v>0</v>
      </c>
      <c r="F8" s="25">
        <v>92</v>
      </c>
      <c r="G8" s="50">
        <v>1</v>
      </c>
      <c r="H8" s="25">
        <v>89</v>
      </c>
      <c r="I8" s="50">
        <v>1</v>
      </c>
      <c r="J8" s="25">
        <v>77</v>
      </c>
      <c r="K8" s="50">
        <v>0</v>
      </c>
      <c r="L8" s="25">
        <v>63</v>
      </c>
      <c r="M8" s="50">
        <v>0</v>
      </c>
      <c r="N8" s="25">
        <v>57</v>
      </c>
      <c r="O8" s="50">
        <v>0</v>
      </c>
      <c r="P8" s="31">
        <v>43</v>
      </c>
      <c r="Q8" s="61">
        <v>3</v>
      </c>
    </row>
    <row r="9" spans="1:17" ht="19.5" thickBot="1" x14ac:dyDescent="0.2">
      <c r="A9" s="131"/>
      <c r="B9" s="112"/>
      <c r="C9" s="143"/>
      <c r="D9" s="24"/>
      <c r="E9" s="51">
        <f>E8/D8</f>
        <v>0</v>
      </c>
      <c r="F9" s="16">
        <f>F8/D8</f>
        <v>1.0454545454545454</v>
      </c>
      <c r="G9" s="57">
        <f>G8/F8</f>
        <v>1.0869565217391304E-2</v>
      </c>
      <c r="H9" s="16">
        <f>H8/F8</f>
        <v>0.96739130434782605</v>
      </c>
      <c r="I9" s="57">
        <f>I8/H8</f>
        <v>1.1235955056179775E-2</v>
      </c>
      <c r="J9" s="16">
        <f>J8/H8</f>
        <v>0.8651685393258427</v>
      </c>
      <c r="K9" s="57">
        <f>K8/J8</f>
        <v>0</v>
      </c>
      <c r="L9" s="16">
        <f>L8/J8</f>
        <v>0.81818181818181823</v>
      </c>
      <c r="M9" s="57">
        <f>M8/L8</f>
        <v>0</v>
      </c>
      <c r="N9" s="16">
        <f>N8/L8</f>
        <v>0.90476190476190477</v>
      </c>
      <c r="O9" s="57">
        <f>O8/N8</f>
        <v>0</v>
      </c>
      <c r="P9" s="16">
        <f>P8/N8</f>
        <v>0.75438596491228072</v>
      </c>
      <c r="Q9" s="57">
        <f>Q8/P8</f>
        <v>6.9767441860465115E-2</v>
      </c>
    </row>
    <row r="10" spans="1:17" ht="18.75" customHeight="1" x14ac:dyDescent="0.15">
      <c r="A10" s="104" t="s">
        <v>284</v>
      </c>
      <c r="B10" s="108" t="s">
        <v>296</v>
      </c>
      <c r="C10" s="118" t="s">
        <v>21</v>
      </c>
      <c r="D10" s="6"/>
      <c r="E10" s="7"/>
      <c r="F10" s="6"/>
      <c r="G10" s="7"/>
      <c r="H10" s="26">
        <v>325</v>
      </c>
      <c r="I10" s="52">
        <v>11</v>
      </c>
      <c r="J10" s="26">
        <v>215</v>
      </c>
      <c r="K10" s="52">
        <v>4</v>
      </c>
      <c r="L10" s="26">
        <v>173</v>
      </c>
      <c r="M10" s="52">
        <v>2</v>
      </c>
      <c r="N10" s="26">
        <v>174</v>
      </c>
      <c r="O10" s="52">
        <v>6</v>
      </c>
      <c r="P10" s="28">
        <v>180</v>
      </c>
      <c r="Q10" s="62">
        <v>3</v>
      </c>
    </row>
    <row r="11" spans="1:17" ht="19.5" thickBot="1" x14ac:dyDescent="0.2">
      <c r="A11" s="117"/>
      <c r="B11" s="107"/>
      <c r="C11" s="119"/>
      <c r="D11" s="102"/>
      <c r="E11" s="103"/>
      <c r="F11" s="102"/>
      <c r="G11" s="103"/>
      <c r="H11" s="19"/>
      <c r="I11" s="53">
        <f>I10/H10</f>
        <v>3.3846153846153845E-2</v>
      </c>
      <c r="J11" s="47">
        <f>J10/H10</f>
        <v>0.66153846153846152</v>
      </c>
      <c r="K11" s="53">
        <f>K10/J10</f>
        <v>1.8604651162790697E-2</v>
      </c>
      <c r="L11" s="47">
        <f>L10/J10</f>
        <v>0.8046511627906977</v>
      </c>
      <c r="M11" s="53">
        <f>M10/L10</f>
        <v>1.1560693641618497E-2</v>
      </c>
      <c r="N11" s="47">
        <f>N10/L10</f>
        <v>1.0057803468208093</v>
      </c>
      <c r="O11" s="53">
        <f>O10/N10</f>
        <v>3.4482758620689655E-2</v>
      </c>
      <c r="P11" s="47">
        <f>P10/N10</f>
        <v>1.0344827586206897</v>
      </c>
      <c r="Q11" s="53">
        <f>Q10/P10</f>
        <v>1.6666666666666666E-2</v>
      </c>
    </row>
    <row r="12" spans="1:17" ht="18.75" customHeight="1" x14ac:dyDescent="0.15">
      <c r="A12" s="104" t="s">
        <v>294</v>
      </c>
      <c r="B12" s="108" t="s">
        <v>296</v>
      </c>
      <c r="C12" s="118" t="s">
        <v>21</v>
      </c>
      <c r="D12" s="6"/>
      <c r="E12" s="7"/>
      <c r="F12" s="6"/>
      <c r="G12" s="7"/>
      <c r="H12" s="26">
        <v>231</v>
      </c>
      <c r="I12" s="52">
        <v>14</v>
      </c>
      <c r="J12" s="26">
        <v>198</v>
      </c>
      <c r="K12" s="52">
        <v>7</v>
      </c>
      <c r="L12" s="26">
        <v>208</v>
      </c>
      <c r="M12" s="52">
        <v>7</v>
      </c>
      <c r="N12" s="26">
        <v>195</v>
      </c>
      <c r="O12" s="52">
        <v>9</v>
      </c>
      <c r="P12" s="28">
        <v>162</v>
      </c>
      <c r="Q12" s="62">
        <v>20</v>
      </c>
    </row>
    <row r="13" spans="1:17" ht="19.5" thickBot="1" x14ac:dyDescent="0.2">
      <c r="A13" s="117"/>
      <c r="B13" s="107"/>
      <c r="C13" s="119"/>
      <c r="D13" s="102"/>
      <c r="E13" s="103"/>
      <c r="F13" s="102"/>
      <c r="G13" s="103"/>
      <c r="H13" s="19"/>
      <c r="I13" s="53">
        <f>I12/H12</f>
        <v>6.0606060606060608E-2</v>
      </c>
      <c r="J13" s="47">
        <f>J12/H12</f>
        <v>0.8571428571428571</v>
      </c>
      <c r="K13" s="53">
        <f>K12/J12</f>
        <v>3.5353535353535352E-2</v>
      </c>
      <c r="L13" s="47">
        <f>L12/J12</f>
        <v>1.0505050505050506</v>
      </c>
      <c r="M13" s="53">
        <f>M12/L12</f>
        <v>3.3653846153846152E-2</v>
      </c>
      <c r="N13" s="47">
        <f>N12/L12</f>
        <v>0.9375</v>
      </c>
      <c r="O13" s="53">
        <f>O12/N12</f>
        <v>4.6153846153846156E-2</v>
      </c>
      <c r="P13" s="47">
        <f>P12/N12</f>
        <v>0.83076923076923082</v>
      </c>
      <c r="Q13" s="53">
        <f>Q12/P12</f>
        <v>0.12345679012345678</v>
      </c>
    </row>
    <row r="14" spans="1:17" ht="18.75" customHeight="1" x14ac:dyDescent="0.15">
      <c r="A14" s="104" t="s">
        <v>297</v>
      </c>
      <c r="B14" s="108" t="s">
        <v>299</v>
      </c>
      <c r="C14" s="118" t="s">
        <v>21</v>
      </c>
      <c r="D14" s="6"/>
      <c r="E14" s="7"/>
      <c r="F14" s="26">
        <v>202</v>
      </c>
      <c r="G14" s="52">
        <v>62</v>
      </c>
      <c r="H14" s="26">
        <v>185</v>
      </c>
      <c r="I14" s="52">
        <v>50</v>
      </c>
      <c r="J14" s="26">
        <v>120</v>
      </c>
      <c r="K14" s="52">
        <v>19</v>
      </c>
      <c r="L14" s="26">
        <v>94</v>
      </c>
      <c r="M14" s="52">
        <v>11</v>
      </c>
      <c r="N14" s="26">
        <v>88</v>
      </c>
      <c r="O14" s="52">
        <v>23</v>
      </c>
      <c r="P14" s="28">
        <v>91</v>
      </c>
      <c r="Q14" s="62">
        <v>33</v>
      </c>
    </row>
    <row r="15" spans="1:17" ht="19.5" thickBot="1" x14ac:dyDescent="0.2">
      <c r="A15" s="117"/>
      <c r="B15" s="107"/>
      <c r="C15" s="119"/>
      <c r="D15" s="102"/>
      <c r="E15" s="103"/>
      <c r="F15" s="19"/>
      <c r="G15" s="53">
        <f>G14/F14</f>
        <v>0.30693069306930693</v>
      </c>
      <c r="H15" s="47">
        <f>H14/F14</f>
        <v>0.91584158415841588</v>
      </c>
      <c r="I15" s="53">
        <f>I14/H14</f>
        <v>0.27027027027027029</v>
      </c>
      <c r="J15" s="47">
        <f>J14/H14</f>
        <v>0.64864864864864868</v>
      </c>
      <c r="K15" s="53">
        <f>K14/J14</f>
        <v>0.15833333333333333</v>
      </c>
      <c r="L15" s="47">
        <f>L14/J14</f>
        <v>0.78333333333333333</v>
      </c>
      <c r="M15" s="53">
        <f>M14/L14</f>
        <v>0.11702127659574468</v>
      </c>
      <c r="N15" s="47">
        <f>N14/L14</f>
        <v>0.93617021276595747</v>
      </c>
      <c r="O15" s="53">
        <f>O14/N14</f>
        <v>0.26136363636363635</v>
      </c>
      <c r="P15" s="47">
        <f>P14/N14</f>
        <v>1.0340909090909092</v>
      </c>
      <c r="Q15" s="53">
        <f>Q14/P14</f>
        <v>0.36263736263736263</v>
      </c>
    </row>
    <row r="16" spans="1:17" ht="22.5" x14ac:dyDescent="0.15">
      <c r="A16" s="117"/>
      <c r="B16" s="106" t="s">
        <v>298</v>
      </c>
      <c r="C16" s="118" t="s">
        <v>21</v>
      </c>
      <c r="D16" s="6"/>
      <c r="E16" s="7"/>
      <c r="F16" s="26">
        <v>131</v>
      </c>
      <c r="G16" s="52">
        <v>33</v>
      </c>
      <c r="H16" s="26">
        <v>63</v>
      </c>
      <c r="I16" s="52">
        <v>15</v>
      </c>
      <c r="J16" s="26">
        <v>35</v>
      </c>
      <c r="K16" s="52">
        <v>6</v>
      </c>
      <c r="L16" s="26">
        <v>31</v>
      </c>
      <c r="M16" s="52">
        <v>3</v>
      </c>
      <c r="N16" s="26">
        <v>40</v>
      </c>
      <c r="O16" s="52">
        <v>6</v>
      </c>
      <c r="P16" s="28">
        <v>42</v>
      </c>
      <c r="Q16" s="62">
        <v>8</v>
      </c>
    </row>
    <row r="17" spans="1:17" ht="19.5" thickBot="1" x14ac:dyDescent="0.2">
      <c r="A17" s="117"/>
      <c r="B17" s="107"/>
      <c r="C17" s="119"/>
      <c r="D17" s="102"/>
      <c r="E17" s="103"/>
      <c r="F17" s="19"/>
      <c r="G17" s="53">
        <f>G16/F16</f>
        <v>0.25190839694656486</v>
      </c>
      <c r="H17" s="47">
        <f>H16/F16</f>
        <v>0.48091603053435117</v>
      </c>
      <c r="I17" s="53">
        <f>I16/H16</f>
        <v>0.23809523809523808</v>
      </c>
      <c r="J17" s="47">
        <f>J16/H16</f>
        <v>0.55555555555555558</v>
      </c>
      <c r="K17" s="53">
        <f>K16/J16</f>
        <v>0.17142857142857143</v>
      </c>
      <c r="L17" s="47">
        <f>L16/J16</f>
        <v>0.88571428571428568</v>
      </c>
      <c r="M17" s="53">
        <f>M16/L16</f>
        <v>9.6774193548387094E-2</v>
      </c>
      <c r="N17" s="47">
        <f>N16/L16</f>
        <v>1.2903225806451613</v>
      </c>
      <c r="O17" s="53">
        <f>O16/N16</f>
        <v>0.15</v>
      </c>
      <c r="P17" s="47">
        <f>P16/N16</f>
        <v>1.05</v>
      </c>
      <c r="Q17" s="53">
        <f>Q16/P16</f>
        <v>0.19047619047619047</v>
      </c>
    </row>
    <row r="18" spans="1:17" ht="18.75" customHeight="1" x14ac:dyDescent="0.15">
      <c r="A18" s="104" t="s">
        <v>295</v>
      </c>
      <c r="B18" s="108" t="s">
        <v>300</v>
      </c>
      <c r="C18" s="118" t="s">
        <v>14</v>
      </c>
      <c r="D18" s="35"/>
      <c r="E18" s="54"/>
      <c r="F18" s="35"/>
      <c r="G18" s="54"/>
      <c r="H18" s="26">
        <v>14</v>
      </c>
      <c r="I18" s="52">
        <v>1</v>
      </c>
      <c r="J18" s="26">
        <v>43</v>
      </c>
      <c r="K18" s="52">
        <v>3</v>
      </c>
      <c r="L18" s="35"/>
      <c r="M18" s="54"/>
      <c r="N18" s="26">
        <v>134</v>
      </c>
      <c r="O18" s="52">
        <v>19</v>
      </c>
      <c r="P18" s="28">
        <v>155</v>
      </c>
      <c r="Q18" s="62">
        <v>19</v>
      </c>
    </row>
    <row r="19" spans="1:17" ht="19.5" thickBot="1" x14ac:dyDescent="0.2">
      <c r="A19" s="117"/>
      <c r="B19" s="107"/>
      <c r="C19" s="119"/>
      <c r="D19" s="18"/>
      <c r="E19" s="58"/>
      <c r="F19" s="18"/>
      <c r="G19" s="58"/>
      <c r="H19" s="19"/>
      <c r="I19" s="53">
        <f>I18/H18</f>
        <v>7.1428571428571425E-2</v>
      </c>
      <c r="J19" s="47">
        <f>J18/H18</f>
        <v>3.0714285714285716</v>
      </c>
      <c r="K19" s="53">
        <f>K18/J18</f>
        <v>6.9767441860465115E-2</v>
      </c>
      <c r="L19" s="18"/>
      <c r="M19" s="58"/>
      <c r="N19" s="47">
        <f>N18/J18</f>
        <v>3.1162790697674421</v>
      </c>
      <c r="O19" s="53">
        <f>O18/N18</f>
        <v>0.1417910447761194</v>
      </c>
      <c r="P19" s="47">
        <f>P18/N18</f>
        <v>1.1567164179104477</v>
      </c>
      <c r="Q19" s="53">
        <f>Q18/P18</f>
        <v>0.12258064516129032</v>
      </c>
    </row>
    <row r="20" spans="1:17" ht="22.5" x14ac:dyDescent="0.15">
      <c r="A20" s="117"/>
      <c r="B20" s="108" t="s">
        <v>301</v>
      </c>
      <c r="C20" s="118" t="s">
        <v>38</v>
      </c>
      <c r="D20" s="35"/>
      <c r="E20" s="54"/>
      <c r="F20" s="35"/>
      <c r="G20" s="54"/>
      <c r="H20" s="26">
        <v>27</v>
      </c>
      <c r="I20" s="52">
        <v>5</v>
      </c>
      <c r="J20" s="26">
        <v>81</v>
      </c>
      <c r="K20" s="52">
        <v>8</v>
      </c>
      <c r="L20" s="35"/>
      <c r="M20" s="54"/>
      <c r="N20" s="26">
        <v>106</v>
      </c>
      <c r="O20" s="52">
        <v>13</v>
      </c>
      <c r="P20" s="28">
        <v>95</v>
      </c>
      <c r="Q20" s="62">
        <v>14</v>
      </c>
    </row>
    <row r="21" spans="1:17" ht="19.5" thickBot="1" x14ac:dyDescent="0.2">
      <c r="A21" s="105"/>
      <c r="B21" s="107"/>
      <c r="C21" s="119"/>
      <c r="D21" s="18"/>
      <c r="E21" s="58"/>
      <c r="F21" s="18"/>
      <c r="G21" s="58"/>
      <c r="H21" s="19"/>
      <c r="I21" s="53">
        <f>I20/H20</f>
        <v>0.18518518518518517</v>
      </c>
      <c r="J21" s="47">
        <f>J20/H20</f>
        <v>3</v>
      </c>
      <c r="K21" s="53">
        <f>K20/J20</f>
        <v>9.8765432098765427E-2</v>
      </c>
      <c r="L21" s="18"/>
      <c r="M21" s="58"/>
      <c r="N21" s="47">
        <f>N20/J20</f>
        <v>1.308641975308642</v>
      </c>
      <c r="O21" s="53">
        <f>O20/N20</f>
        <v>0.12264150943396226</v>
      </c>
      <c r="P21" s="47">
        <f>P20/N20</f>
        <v>0.89622641509433965</v>
      </c>
      <c r="Q21" s="53">
        <f>Q20/P20</f>
        <v>0.14736842105263157</v>
      </c>
    </row>
    <row r="22" spans="1:17" ht="18.75" customHeight="1" x14ac:dyDescent="0.15">
      <c r="A22" s="104" t="s">
        <v>302</v>
      </c>
      <c r="B22" s="108" t="s">
        <v>303</v>
      </c>
      <c r="C22" s="118" t="s">
        <v>21</v>
      </c>
      <c r="D22" s="6"/>
      <c r="E22" s="7"/>
      <c r="F22" s="26">
        <v>61</v>
      </c>
      <c r="G22" s="52">
        <v>20</v>
      </c>
      <c r="H22" s="26">
        <v>66</v>
      </c>
      <c r="I22" s="52">
        <v>22</v>
      </c>
      <c r="J22" s="26">
        <v>67</v>
      </c>
      <c r="K22" s="52">
        <v>22</v>
      </c>
      <c r="L22" s="26">
        <v>25</v>
      </c>
      <c r="M22" s="52">
        <v>1</v>
      </c>
      <c r="N22" s="26">
        <v>45</v>
      </c>
      <c r="O22" s="52">
        <v>6</v>
      </c>
      <c r="P22" s="28">
        <v>87</v>
      </c>
      <c r="Q22" s="62">
        <v>37</v>
      </c>
    </row>
    <row r="23" spans="1:17" ht="19.5" thickBot="1" x14ac:dyDescent="0.2">
      <c r="A23" s="117"/>
      <c r="B23" s="107"/>
      <c r="C23" s="119"/>
      <c r="D23" s="102"/>
      <c r="E23" s="103"/>
      <c r="F23" s="19"/>
      <c r="G23" s="53">
        <f>G22/F22</f>
        <v>0.32786885245901637</v>
      </c>
      <c r="H23" s="47">
        <f>H22/F22</f>
        <v>1.0819672131147542</v>
      </c>
      <c r="I23" s="53">
        <f>I22/H22</f>
        <v>0.33333333333333331</v>
      </c>
      <c r="J23" s="47">
        <f>J22/H22</f>
        <v>1.0151515151515151</v>
      </c>
      <c r="K23" s="53">
        <f>K22/J22</f>
        <v>0.32835820895522388</v>
      </c>
      <c r="L23" s="47">
        <f>L22/J22</f>
        <v>0.37313432835820898</v>
      </c>
      <c r="M23" s="53">
        <f>M22/L22</f>
        <v>0.04</v>
      </c>
      <c r="N23" s="47">
        <f>N22/L22</f>
        <v>1.8</v>
      </c>
      <c r="O23" s="53">
        <f>O22/N22</f>
        <v>0.13333333333333333</v>
      </c>
      <c r="P23" s="47">
        <f>P22/N22</f>
        <v>1.9333333333333333</v>
      </c>
      <c r="Q23" s="53">
        <f>Q22/P22</f>
        <v>0.42528735632183906</v>
      </c>
    </row>
    <row r="24" spans="1:17" ht="22.5" customHeight="1" x14ac:dyDescent="0.15">
      <c r="A24" s="117"/>
      <c r="B24" s="108" t="s">
        <v>304</v>
      </c>
      <c r="C24" s="118" t="s">
        <v>21</v>
      </c>
      <c r="D24" s="6"/>
      <c r="E24" s="7"/>
      <c r="F24" s="26">
        <v>24</v>
      </c>
      <c r="G24" s="52">
        <v>2</v>
      </c>
      <c r="H24" s="26">
        <v>16</v>
      </c>
      <c r="I24" s="52">
        <v>1</v>
      </c>
      <c r="J24" s="26">
        <v>15</v>
      </c>
      <c r="K24" s="52">
        <v>0</v>
      </c>
      <c r="L24" s="26">
        <v>14</v>
      </c>
      <c r="M24" s="52">
        <v>0</v>
      </c>
      <c r="N24" s="26">
        <v>13</v>
      </c>
      <c r="O24" s="52">
        <v>1</v>
      </c>
      <c r="P24" s="28">
        <v>22</v>
      </c>
      <c r="Q24" s="62">
        <v>4</v>
      </c>
    </row>
    <row r="25" spans="1:17" ht="19.5" thickBot="1" x14ac:dyDescent="0.2">
      <c r="A25" s="105"/>
      <c r="B25" s="107"/>
      <c r="C25" s="119"/>
      <c r="D25" s="102"/>
      <c r="E25" s="103"/>
      <c r="F25" s="19"/>
      <c r="G25" s="53">
        <f>G24/F24</f>
        <v>8.3333333333333329E-2</v>
      </c>
      <c r="H25" s="47">
        <f>H24/F24</f>
        <v>0.66666666666666663</v>
      </c>
      <c r="I25" s="53">
        <f>I24/H24</f>
        <v>6.25E-2</v>
      </c>
      <c r="J25" s="47">
        <f>J24/H24</f>
        <v>0.9375</v>
      </c>
      <c r="K25" s="53">
        <f>K24/J24</f>
        <v>0</v>
      </c>
      <c r="L25" s="47">
        <f>L24/J24</f>
        <v>0.93333333333333335</v>
      </c>
      <c r="M25" s="53">
        <f>M24/L24</f>
        <v>0</v>
      </c>
      <c r="N25" s="47">
        <f>N24/L24</f>
        <v>0.9285714285714286</v>
      </c>
      <c r="O25" s="53">
        <f>O24/N24</f>
        <v>7.6923076923076927E-2</v>
      </c>
      <c r="P25" s="47">
        <f>P24/N24</f>
        <v>1.6923076923076923</v>
      </c>
      <c r="Q25" s="53">
        <f>Q24/P24</f>
        <v>0.18181818181818182</v>
      </c>
    </row>
    <row r="26" spans="1:17" ht="18.75" customHeight="1" x14ac:dyDescent="0.15">
      <c r="A26" s="104" t="s">
        <v>305</v>
      </c>
      <c r="B26" s="108" t="s">
        <v>296</v>
      </c>
      <c r="C26" s="118" t="s">
        <v>21</v>
      </c>
      <c r="D26" s="6"/>
      <c r="E26" s="7"/>
      <c r="F26" s="6"/>
      <c r="G26" s="7"/>
      <c r="H26" s="26">
        <v>103</v>
      </c>
      <c r="I26" s="52">
        <v>0</v>
      </c>
      <c r="J26" s="26">
        <v>59</v>
      </c>
      <c r="K26" s="52">
        <v>0</v>
      </c>
      <c r="L26" s="26">
        <v>44</v>
      </c>
      <c r="M26" s="52">
        <v>0</v>
      </c>
      <c r="N26" s="26">
        <v>32</v>
      </c>
      <c r="O26" s="52">
        <v>0</v>
      </c>
      <c r="P26" s="28">
        <v>25</v>
      </c>
      <c r="Q26" s="62">
        <v>2</v>
      </c>
    </row>
    <row r="27" spans="1:17" ht="19.5" thickBot="1" x14ac:dyDescent="0.2">
      <c r="A27" s="117"/>
      <c r="B27" s="107"/>
      <c r="C27" s="119"/>
      <c r="D27" s="102"/>
      <c r="E27" s="103"/>
      <c r="F27" s="102"/>
      <c r="G27" s="103"/>
      <c r="H27" s="19"/>
      <c r="I27" s="53">
        <f>I26/H26</f>
        <v>0</v>
      </c>
      <c r="J27" s="47">
        <f>J26/H26</f>
        <v>0.57281553398058249</v>
      </c>
      <c r="K27" s="53">
        <f>K26/J26</f>
        <v>0</v>
      </c>
      <c r="L27" s="47">
        <f>L26/J26</f>
        <v>0.74576271186440679</v>
      </c>
      <c r="M27" s="53">
        <f>M26/L26</f>
        <v>0</v>
      </c>
      <c r="N27" s="47">
        <f>N26/L26</f>
        <v>0.72727272727272729</v>
      </c>
      <c r="O27" s="53">
        <f>O26/N26</f>
        <v>0</v>
      </c>
      <c r="P27" s="47">
        <f>P26/N26</f>
        <v>0.78125</v>
      </c>
      <c r="Q27" s="53">
        <f>Q26/P26</f>
        <v>0.08</v>
      </c>
    </row>
    <row r="28" spans="1:17" ht="22.5" customHeight="1" x14ac:dyDescent="0.15">
      <c r="A28" s="117"/>
      <c r="B28" s="108" t="s">
        <v>306</v>
      </c>
      <c r="C28" s="118" t="s">
        <v>21</v>
      </c>
      <c r="D28" s="6"/>
      <c r="E28" s="7"/>
      <c r="F28" s="6"/>
      <c r="G28" s="7"/>
      <c r="H28" s="26">
        <v>22</v>
      </c>
      <c r="I28" s="52">
        <v>2</v>
      </c>
      <c r="J28" s="26">
        <v>9</v>
      </c>
      <c r="K28" s="52">
        <v>3</v>
      </c>
      <c r="L28" s="26">
        <v>7</v>
      </c>
      <c r="M28" s="52">
        <v>0</v>
      </c>
      <c r="N28" s="26">
        <v>7</v>
      </c>
      <c r="O28" s="52">
        <v>0</v>
      </c>
      <c r="P28" s="28">
        <v>9</v>
      </c>
      <c r="Q28" s="62">
        <v>2</v>
      </c>
    </row>
    <row r="29" spans="1:17" ht="19.5" thickBot="1" x14ac:dyDescent="0.2">
      <c r="A29" s="105"/>
      <c r="B29" s="107"/>
      <c r="C29" s="119"/>
      <c r="D29" s="102"/>
      <c r="E29" s="103"/>
      <c r="F29" s="102"/>
      <c r="G29" s="103"/>
      <c r="H29" s="19"/>
      <c r="I29" s="53">
        <f>I28/H28</f>
        <v>9.0909090909090912E-2</v>
      </c>
      <c r="J29" s="47">
        <f>J28/H28</f>
        <v>0.40909090909090912</v>
      </c>
      <c r="K29" s="53">
        <f>K28/J28</f>
        <v>0.33333333333333331</v>
      </c>
      <c r="L29" s="47">
        <f>L28/J28</f>
        <v>0.77777777777777779</v>
      </c>
      <c r="M29" s="53">
        <f>M28/L28</f>
        <v>0</v>
      </c>
      <c r="N29" s="47">
        <f>N28/L28</f>
        <v>1</v>
      </c>
      <c r="O29" s="53">
        <f>O28/N28</f>
        <v>0</v>
      </c>
      <c r="P29" s="47">
        <f>P28/N28</f>
        <v>1.2857142857142858</v>
      </c>
      <c r="Q29" s="53">
        <f>Q28/P28</f>
        <v>0.22222222222222221</v>
      </c>
    </row>
    <row r="30" spans="1:17" ht="18.75" customHeight="1" x14ac:dyDescent="0.15">
      <c r="A30" s="104" t="s">
        <v>307</v>
      </c>
      <c r="B30" s="108" t="s">
        <v>296</v>
      </c>
      <c r="C30" s="118" t="s">
        <v>21</v>
      </c>
      <c r="D30" s="6"/>
      <c r="E30" s="7"/>
      <c r="F30" s="6"/>
      <c r="G30" s="7"/>
      <c r="H30" s="26">
        <v>93</v>
      </c>
      <c r="I30" s="52">
        <v>6</v>
      </c>
      <c r="J30" s="26">
        <v>87</v>
      </c>
      <c r="K30" s="52">
        <v>6</v>
      </c>
      <c r="L30" s="26">
        <v>86</v>
      </c>
      <c r="M30" s="52">
        <v>4</v>
      </c>
      <c r="N30" s="26">
        <v>88</v>
      </c>
      <c r="O30" s="52">
        <v>5</v>
      </c>
      <c r="P30" s="28">
        <v>99</v>
      </c>
      <c r="Q30" s="62">
        <v>17</v>
      </c>
    </row>
    <row r="31" spans="1:17" ht="19.5" thickBot="1" x14ac:dyDescent="0.2">
      <c r="A31" s="105"/>
      <c r="B31" s="107"/>
      <c r="C31" s="119"/>
      <c r="D31" s="102"/>
      <c r="E31" s="103"/>
      <c r="F31" s="102"/>
      <c r="G31" s="103"/>
      <c r="H31" s="19"/>
      <c r="I31" s="53">
        <f>I30/H30</f>
        <v>6.4516129032258063E-2</v>
      </c>
      <c r="J31" s="47">
        <f>J30/H30</f>
        <v>0.93548387096774188</v>
      </c>
      <c r="K31" s="53">
        <f>K30/J30</f>
        <v>6.8965517241379309E-2</v>
      </c>
      <c r="L31" s="47">
        <f>L30/J30</f>
        <v>0.9885057471264368</v>
      </c>
      <c r="M31" s="53">
        <f>M30/L30</f>
        <v>4.6511627906976744E-2</v>
      </c>
      <c r="N31" s="47">
        <f>N30/L30</f>
        <v>1.0232558139534884</v>
      </c>
      <c r="O31" s="53">
        <f>O30/N30</f>
        <v>5.6818181818181816E-2</v>
      </c>
      <c r="P31" s="47">
        <f>P30/N30</f>
        <v>1.125</v>
      </c>
      <c r="Q31" s="53">
        <f>Q30/P30</f>
        <v>0.17171717171717171</v>
      </c>
    </row>
    <row r="32" spans="1:17" ht="18.75" customHeight="1" x14ac:dyDescent="0.15">
      <c r="A32" s="104" t="s">
        <v>276</v>
      </c>
      <c r="B32" s="108" t="s">
        <v>308</v>
      </c>
      <c r="C32" s="118" t="s">
        <v>21</v>
      </c>
      <c r="D32" s="6"/>
      <c r="E32" s="7"/>
      <c r="F32" s="6"/>
      <c r="G32" s="7"/>
      <c r="H32" s="26">
        <v>35</v>
      </c>
      <c r="I32" s="52">
        <v>6</v>
      </c>
      <c r="J32" s="26">
        <v>38</v>
      </c>
      <c r="K32" s="52">
        <v>5</v>
      </c>
      <c r="L32" s="26">
        <v>46</v>
      </c>
      <c r="M32" s="52">
        <v>0</v>
      </c>
      <c r="N32" s="26">
        <v>55</v>
      </c>
      <c r="O32" s="52">
        <v>8</v>
      </c>
      <c r="P32" s="28">
        <v>41</v>
      </c>
      <c r="Q32" s="62">
        <v>21</v>
      </c>
    </row>
    <row r="33" spans="1:17" ht="19.5" thickBot="1" x14ac:dyDescent="0.2">
      <c r="A33" s="105"/>
      <c r="B33" s="107"/>
      <c r="C33" s="119"/>
      <c r="D33" s="102"/>
      <c r="E33" s="103"/>
      <c r="F33" s="102"/>
      <c r="G33" s="103"/>
      <c r="H33" s="19"/>
      <c r="I33" s="53">
        <f>I32/H32</f>
        <v>0.17142857142857143</v>
      </c>
      <c r="J33" s="47">
        <f>J32/H32</f>
        <v>1.0857142857142856</v>
      </c>
      <c r="K33" s="53">
        <f>K32/J32</f>
        <v>0.13157894736842105</v>
      </c>
      <c r="L33" s="47">
        <f>L32/J32</f>
        <v>1.2105263157894737</v>
      </c>
      <c r="M33" s="53">
        <f>M32/L32</f>
        <v>0</v>
      </c>
      <c r="N33" s="47">
        <f>N32/L32</f>
        <v>1.1956521739130435</v>
      </c>
      <c r="O33" s="53">
        <f>O32/N32</f>
        <v>0.14545454545454545</v>
      </c>
      <c r="P33" s="47">
        <f>P32/N32</f>
        <v>0.74545454545454548</v>
      </c>
      <c r="Q33" s="53">
        <f>Q32/P32</f>
        <v>0.51219512195121952</v>
      </c>
    </row>
    <row r="34" spans="1:17" ht="18.75" customHeight="1" x14ac:dyDescent="0.15">
      <c r="A34" s="104" t="s">
        <v>6</v>
      </c>
      <c r="B34" s="108" t="s">
        <v>239</v>
      </c>
      <c r="C34" s="118" t="s">
        <v>21</v>
      </c>
      <c r="D34" s="26">
        <v>61</v>
      </c>
      <c r="E34" s="52">
        <v>0</v>
      </c>
      <c r="F34" s="26">
        <v>72</v>
      </c>
      <c r="G34" s="52">
        <v>0</v>
      </c>
      <c r="H34" s="34">
        <v>77</v>
      </c>
      <c r="I34" s="56">
        <v>0</v>
      </c>
      <c r="J34" s="34">
        <v>67</v>
      </c>
      <c r="K34" s="56">
        <v>0</v>
      </c>
      <c r="L34" s="34">
        <v>74</v>
      </c>
      <c r="M34" s="52">
        <v>0</v>
      </c>
      <c r="N34" s="34">
        <v>78</v>
      </c>
      <c r="O34" s="52">
        <v>0</v>
      </c>
      <c r="P34" s="28">
        <v>67</v>
      </c>
      <c r="Q34" s="62">
        <v>0</v>
      </c>
    </row>
    <row r="35" spans="1:17" ht="19.5" thickBot="1" x14ac:dyDescent="0.2">
      <c r="A35" s="105"/>
      <c r="B35" s="107"/>
      <c r="C35" s="119"/>
      <c r="D35" s="19"/>
      <c r="E35" s="53">
        <f>E34/D34</f>
        <v>0</v>
      </c>
      <c r="F35" s="47">
        <f>F34/D34</f>
        <v>1.180327868852459</v>
      </c>
      <c r="G35" s="53">
        <f>G34/F34</f>
        <v>0</v>
      </c>
      <c r="H35" s="47">
        <f>H34/F34</f>
        <v>1.0694444444444444</v>
      </c>
      <c r="I35" s="53">
        <f>I34/H34</f>
        <v>0</v>
      </c>
      <c r="J35" s="47">
        <f>J34/H34</f>
        <v>0.87012987012987009</v>
      </c>
      <c r="K35" s="53">
        <f>K34/J34</f>
        <v>0</v>
      </c>
      <c r="L35" s="47">
        <f>L34/J34</f>
        <v>1.1044776119402986</v>
      </c>
      <c r="M35" s="53">
        <f>M34/L34</f>
        <v>0</v>
      </c>
      <c r="N35" s="47">
        <f>N34/L34</f>
        <v>1.0540540540540539</v>
      </c>
      <c r="O35" s="53">
        <f>O34/N34</f>
        <v>0</v>
      </c>
      <c r="P35" s="47">
        <f>P34/N34</f>
        <v>0.85897435897435892</v>
      </c>
      <c r="Q35" s="53">
        <f>Q34/P34</f>
        <v>0</v>
      </c>
    </row>
    <row r="36" spans="1:17" ht="18.75" customHeight="1" x14ac:dyDescent="0.15">
      <c r="A36" s="104" t="s">
        <v>309</v>
      </c>
      <c r="B36" s="108" t="s">
        <v>238</v>
      </c>
      <c r="C36" s="118" t="s">
        <v>21</v>
      </c>
      <c r="D36" s="8"/>
      <c r="E36" s="9"/>
      <c r="F36" s="8"/>
      <c r="G36" s="9"/>
      <c r="H36" s="34">
        <v>157</v>
      </c>
      <c r="I36" s="56">
        <v>0</v>
      </c>
      <c r="J36" s="34">
        <v>120</v>
      </c>
      <c r="K36" s="56">
        <v>0</v>
      </c>
      <c r="L36" s="34">
        <v>80</v>
      </c>
      <c r="M36" s="52">
        <v>0</v>
      </c>
      <c r="N36" s="34">
        <v>75</v>
      </c>
      <c r="O36" s="52">
        <v>0</v>
      </c>
      <c r="P36" s="28">
        <v>64</v>
      </c>
      <c r="Q36" s="62">
        <v>0</v>
      </c>
    </row>
    <row r="37" spans="1:17" ht="19.5" thickBot="1" x14ac:dyDescent="0.2">
      <c r="A37" s="105"/>
      <c r="B37" s="107"/>
      <c r="C37" s="119"/>
      <c r="D37" s="100"/>
      <c r="E37" s="101"/>
      <c r="F37" s="100"/>
      <c r="G37" s="97"/>
      <c r="H37" s="19"/>
      <c r="I37" s="53">
        <f>I36/H36</f>
        <v>0</v>
      </c>
      <c r="J37" s="47">
        <f>J36/H36</f>
        <v>0.76433121019108285</v>
      </c>
      <c r="K37" s="53">
        <f>K36/J36</f>
        <v>0</v>
      </c>
      <c r="L37" s="47">
        <f>L36/J36</f>
        <v>0.66666666666666663</v>
      </c>
      <c r="M37" s="53">
        <f>M36/L36</f>
        <v>0</v>
      </c>
      <c r="N37" s="47">
        <f>N36/L36</f>
        <v>0.9375</v>
      </c>
      <c r="O37" s="53">
        <f>O36/N36</f>
        <v>0</v>
      </c>
      <c r="P37" s="47">
        <f>P36/N36</f>
        <v>0.85333333333333339</v>
      </c>
      <c r="Q37" s="63">
        <f>Q36/P36</f>
        <v>0</v>
      </c>
    </row>
    <row r="38" spans="1:17" ht="18.75" customHeight="1" x14ac:dyDescent="0.15">
      <c r="A38" s="104" t="s">
        <v>310</v>
      </c>
      <c r="B38" s="108" t="s">
        <v>311</v>
      </c>
      <c r="C38" s="118" t="s">
        <v>21</v>
      </c>
      <c r="D38" s="8"/>
      <c r="E38" s="9"/>
      <c r="F38" s="34">
        <v>47</v>
      </c>
      <c r="G38" s="56">
        <v>13</v>
      </c>
      <c r="H38" s="34">
        <v>62</v>
      </c>
      <c r="I38" s="56">
        <v>12</v>
      </c>
      <c r="J38" s="34">
        <v>80</v>
      </c>
      <c r="K38" s="56">
        <v>10</v>
      </c>
      <c r="L38" s="34">
        <v>89</v>
      </c>
      <c r="M38" s="52">
        <v>7</v>
      </c>
      <c r="N38" s="34">
        <v>76</v>
      </c>
      <c r="O38" s="52">
        <v>11</v>
      </c>
      <c r="P38" s="28">
        <v>71</v>
      </c>
      <c r="Q38" s="62">
        <v>18</v>
      </c>
    </row>
    <row r="39" spans="1:17" ht="19.5" thickBot="1" x14ac:dyDescent="0.2">
      <c r="A39" s="105"/>
      <c r="B39" s="107"/>
      <c r="C39" s="119"/>
      <c r="D39" s="100"/>
      <c r="E39" s="101"/>
      <c r="F39" s="19"/>
      <c r="G39" s="53">
        <f>G38/F38</f>
        <v>0.27659574468085107</v>
      </c>
      <c r="H39" s="47">
        <f>H38/F38</f>
        <v>1.3191489361702127</v>
      </c>
      <c r="I39" s="53">
        <f>I38/H38</f>
        <v>0.19354838709677419</v>
      </c>
      <c r="J39" s="47">
        <f>J38/H38</f>
        <v>1.2903225806451613</v>
      </c>
      <c r="K39" s="53">
        <f>K38/J38</f>
        <v>0.125</v>
      </c>
      <c r="L39" s="47">
        <f>L38/J38</f>
        <v>1.1125</v>
      </c>
      <c r="M39" s="53">
        <f>M38/L38</f>
        <v>7.8651685393258425E-2</v>
      </c>
      <c r="N39" s="47">
        <f>N38/L38</f>
        <v>0.8539325842696629</v>
      </c>
      <c r="O39" s="53">
        <f>O38/N38</f>
        <v>0.14473684210526316</v>
      </c>
      <c r="P39" s="47">
        <f>P38/N38</f>
        <v>0.93421052631578949</v>
      </c>
      <c r="Q39" s="63">
        <f>Q38/P38</f>
        <v>0.25352112676056338</v>
      </c>
    </row>
    <row r="40" spans="1:17" ht="18.75" customHeight="1" x14ac:dyDescent="0.15">
      <c r="A40" s="104" t="s">
        <v>312</v>
      </c>
      <c r="B40" s="108" t="s">
        <v>311</v>
      </c>
      <c r="C40" s="118" t="s">
        <v>21</v>
      </c>
      <c r="D40" s="8"/>
      <c r="E40" s="9"/>
      <c r="F40" s="34">
        <v>38</v>
      </c>
      <c r="G40" s="56">
        <v>11</v>
      </c>
      <c r="H40" s="34">
        <v>47</v>
      </c>
      <c r="I40" s="56">
        <v>9</v>
      </c>
      <c r="J40" s="34">
        <v>33</v>
      </c>
      <c r="K40" s="56">
        <v>9</v>
      </c>
      <c r="L40" s="34">
        <v>36</v>
      </c>
      <c r="M40" s="52">
        <v>6</v>
      </c>
      <c r="N40" s="34">
        <v>44</v>
      </c>
      <c r="O40" s="52">
        <v>8</v>
      </c>
      <c r="P40" s="28">
        <v>41</v>
      </c>
      <c r="Q40" s="62">
        <v>22</v>
      </c>
    </row>
    <row r="41" spans="1:17" ht="19.5" thickBot="1" x14ac:dyDescent="0.2">
      <c r="A41" s="105"/>
      <c r="B41" s="107"/>
      <c r="C41" s="119"/>
      <c r="D41" s="100"/>
      <c r="E41" s="101"/>
      <c r="F41" s="19"/>
      <c r="G41" s="53">
        <f>G40/F40</f>
        <v>0.28947368421052633</v>
      </c>
      <c r="H41" s="47">
        <f>H40/F40</f>
        <v>1.236842105263158</v>
      </c>
      <c r="I41" s="53">
        <f>I40/H40</f>
        <v>0.19148936170212766</v>
      </c>
      <c r="J41" s="47">
        <f>J40/H40</f>
        <v>0.7021276595744681</v>
      </c>
      <c r="K41" s="53">
        <f>K40/J40</f>
        <v>0.27272727272727271</v>
      </c>
      <c r="L41" s="47">
        <f>L40/J40</f>
        <v>1.0909090909090908</v>
      </c>
      <c r="M41" s="53">
        <f>M40/L40</f>
        <v>0.16666666666666666</v>
      </c>
      <c r="N41" s="47">
        <f>N40/L40</f>
        <v>1.2222222222222223</v>
      </c>
      <c r="O41" s="53">
        <f>O40/N40</f>
        <v>0.18181818181818182</v>
      </c>
      <c r="P41" s="47">
        <f>P40/N40</f>
        <v>0.93181818181818177</v>
      </c>
      <c r="Q41" s="63">
        <f>Q40/P40</f>
        <v>0.53658536585365857</v>
      </c>
    </row>
    <row r="42" spans="1:17" ht="18.75" customHeight="1" x14ac:dyDescent="0.15">
      <c r="A42" s="104" t="s">
        <v>313</v>
      </c>
      <c r="B42" s="108" t="s">
        <v>311</v>
      </c>
      <c r="C42" s="118" t="s">
        <v>21</v>
      </c>
      <c r="D42" s="8"/>
      <c r="E42" s="9"/>
      <c r="F42" s="34">
        <v>62</v>
      </c>
      <c r="G42" s="56">
        <v>4</v>
      </c>
      <c r="H42" s="34">
        <v>55</v>
      </c>
      <c r="I42" s="56">
        <v>1</v>
      </c>
      <c r="J42" s="34">
        <v>63</v>
      </c>
      <c r="K42" s="56">
        <v>0</v>
      </c>
      <c r="L42" s="34">
        <v>77</v>
      </c>
      <c r="M42" s="52">
        <v>0</v>
      </c>
      <c r="N42" s="34">
        <v>52</v>
      </c>
      <c r="O42" s="52">
        <v>0</v>
      </c>
      <c r="P42" s="28">
        <v>53</v>
      </c>
      <c r="Q42" s="62">
        <v>0</v>
      </c>
    </row>
    <row r="43" spans="1:17" ht="19.5" thickBot="1" x14ac:dyDescent="0.2">
      <c r="A43" s="105"/>
      <c r="B43" s="107"/>
      <c r="C43" s="119"/>
      <c r="D43" s="100"/>
      <c r="E43" s="101"/>
      <c r="F43" s="19"/>
      <c r="G43" s="53">
        <f>G42/F42</f>
        <v>6.4516129032258063E-2</v>
      </c>
      <c r="H43" s="47">
        <f>H42/F42</f>
        <v>0.88709677419354838</v>
      </c>
      <c r="I43" s="53">
        <f>I42/H42</f>
        <v>1.8181818181818181E-2</v>
      </c>
      <c r="J43" s="47">
        <f>J42/H42</f>
        <v>1.1454545454545455</v>
      </c>
      <c r="K43" s="53">
        <f>K42/J42</f>
        <v>0</v>
      </c>
      <c r="L43" s="47">
        <f>L42/J42</f>
        <v>1.2222222222222223</v>
      </c>
      <c r="M43" s="53">
        <f>M42/L42</f>
        <v>0</v>
      </c>
      <c r="N43" s="47">
        <f>N42/L42</f>
        <v>0.67532467532467533</v>
      </c>
      <c r="O43" s="53">
        <f>O42/N42</f>
        <v>0</v>
      </c>
      <c r="P43" s="47">
        <f>P42/N42</f>
        <v>1.0192307692307692</v>
      </c>
      <c r="Q43" s="63">
        <f>Q42/P42</f>
        <v>0</v>
      </c>
    </row>
    <row r="44" spans="1:17" ht="18.75" customHeight="1" x14ac:dyDescent="0.15"/>
    <row r="46" spans="1:17" ht="18.75" customHeight="1" x14ac:dyDescent="0.15"/>
    <row r="48" spans="1:17" ht="19.5" customHeight="1" x14ac:dyDescent="0.15"/>
    <row r="50" ht="18.75" customHeight="1" x14ac:dyDescent="0.15"/>
    <row r="52" ht="18.75" customHeight="1" x14ac:dyDescent="0.15"/>
    <row r="54" ht="18.75" customHeight="1" x14ac:dyDescent="0.15"/>
    <row r="56" ht="18.75" customHeight="1" x14ac:dyDescent="0.15"/>
    <row r="58" ht="18.75" customHeight="1" x14ac:dyDescent="0.15"/>
    <row r="60" ht="18.75" customHeight="1" x14ac:dyDescent="0.15"/>
    <row r="62" ht="18.75" customHeight="1" x14ac:dyDescent="0.15"/>
    <row r="64" ht="18.75" customHeight="1" x14ac:dyDescent="0.15"/>
    <row r="66" ht="18.75" customHeight="1" x14ac:dyDescent="0.15"/>
    <row r="68" ht="18.75" customHeight="1" x14ac:dyDescent="0.15"/>
  </sheetData>
  <mergeCells count="81">
    <mergeCell ref="D11:E11"/>
    <mergeCell ref="F11:G11"/>
    <mergeCell ref="D13:E13"/>
    <mergeCell ref="F13:G13"/>
    <mergeCell ref="B16:B17"/>
    <mergeCell ref="C16:C17"/>
    <mergeCell ref="D15:E15"/>
    <mergeCell ref="D17:E17"/>
    <mergeCell ref="C14:C15"/>
    <mergeCell ref="A18:A21"/>
    <mergeCell ref="B18:B19"/>
    <mergeCell ref="C18:C19"/>
    <mergeCell ref="B20:B21"/>
    <mergeCell ref="C20:C21"/>
    <mergeCell ref="P3:Q3"/>
    <mergeCell ref="F3:G3"/>
    <mergeCell ref="H3:I3"/>
    <mergeCell ref="J3:K3"/>
    <mergeCell ref="A6:A7"/>
    <mergeCell ref="D3:E3"/>
    <mergeCell ref="A22:A25"/>
    <mergeCell ref="L3:M3"/>
    <mergeCell ref="N3:O3"/>
    <mergeCell ref="B6:B7"/>
    <mergeCell ref="C6:C7"/>
    <mergeCell ref="A10:A11"/>
    <mergeCell ref="B10:B11"/>
    <mergeCell ref="C10:C11"/>
    <mergeCell ref="A12:A13"/>
    <mergeCell ref="B12:B13"/>
    <mergeCell ref="C12:C13"/>
    <mergeCell ref="A8:A9"/>
    <mergeCell ref="B8:B9"/>
    <mergeCell ref="C8:C9"/>
    <mergeCell ref="A14:A17"/>
    <mergeCell ref="B14:B15"/>
    <mergeCell ref="B22:B23"/>
    <mergeCell ref="C22:C23"/>
    <mergeCell ref="D23:E23"/>
    <mergeCell ref="B24:B25"/>
    <mergeCell ref="C24:C25"/>
    <mergeCell ref="D25:E25"/>
    <mergeCell ref="F27:G27"/>
    <mergeCell ref="F29:G29"/>
    <mergeCell ref="A30:A31"/>
    <mergeCell ref="B30:B31"/>
    <mergeCell ref="C30:C31"/>
    <mergeCell ref="D31:E31"/>
    <mergeCell ref="F31:G31"/>
    <mergeCell ref="A26:A29"/>
    <mergeCell ref="B26:B27"/>
    <mergeCell ref="C26:C27"/>
    <mergeCell ref="D27:E27"/>
    <mergeCell ref="B28:B29"/>
    <mergeCell ref="C28:C29"/>
    <mergeCell ref="D29:E29"/>
    <mergeCell ref="F37:G37"/>
    <mergeCell ref="A34:A35"/>
    <mergeCell ref="B34:B35"/>
    <mergeCell ref="C34:C35"/>
    <mergeCell ref="A32:A33"/>
    <mergeCell ref="B32:B33"/>
    <mergeCell ref="C32:C33"/>
    <mergeCell ref="D33:E33"/>
    <mergeCell ref="F33:G33"/>
    <mergeCell ref="A38:A39"/>
    <mergeCell ref="B38:B39"/>
    <mergeCell ref="C38:C39"/>
    <mergeCell ref="D39:E39"/>
    <mergeCell ref="A36:A37"/>
    <mergeCell ref="B36:B37"/>
    <mergeCell ref="C36:C37"/>
    <mergeCell ref="D37:E37"/>
    <mergeCell ref="A40:A41"/>
    <mergeCell ref="B40:B41"/>
    <mergeCell ref="C40:C41"/>
    <mergeCell ref="D41:E41"/>
    <mergeCell ref="A42:A43"/>
    <mergeCell ref="B42:B43"/>
    <mergeCell ref="C42:C43"/>
    <mergeCell ref="D43:E43"/>
  </mergeCells>
  <phoneticPr fontId="2"/>
  <conditionalFormatting sqref="P43 P41 N43 N41 L43 L41 J43 J41 H43 H41 H39 J39 L39 N39 P39 P37 N37 L37 J37 F35 H35 J35 L35 N35 P35 J33 L33 N33 P33 P31 N31 L31 J31 H25 H23 J23 J25 J27 J29 L29 L27 L25 L23 N23 N25 N27 N29 P29 P27 P25 P23 P21 P19 N21 N19 J21 J19 L17 N17 P17 P15 N15 L15 J17 J15 H17 H15 J13 L13 N13 P13 P11 N11 L11 J11 L9 N9 P9 P7 N7 L7 J9 J7 H9 H7 F9 F7">
    <cfRule type="cellIs" dxfId="15" priority="1" operator="lessThan">
      <formula>1</formula>
    </cfRule>
    <cfRule type="cellIs" dxfId="14" priority="2" operator="greaterThanOrEqual">
      <formula>1</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4108-B3CC-4581-A721-EDCC6CDA2B13}">
  <dimension ref="A2:Q108"/>
  <sheetViews>
    <sheetView showGridLines="0" topLeftCell="A10" zoomScale="80" zoomScaleNormal="80" workbookViewId="0">
      <selection activeCell="P28" sqref="P28"/>
    </sheetView>
  </sheetViews>
  <sheetFormatPr defaultRowHeight="18.75" x14ac:dyDescent="0.15"/>
  <cols>
    <col min="1" max="1" width="26.5" style="1" bestFit="1" customWidth="1"/>
    <col min="2" max="2" width="20" style="2" bestFit="1" customWidth="1"/>
    <col min="3" max="3" width="8.625" style="2" customWidth="1"/>
    <col min="4" max="4" width="7.5" style="1" bestFit="1" customWidth="1"/>
    <col min="5" max="5" width="7.625" style="1" bestFit="1" customWidth="1"/>
    <col min="6" max="6" width="9.625" style="1" bestFit="1" customWidth="1"/>
    <col min="7" max="7" width="7.625" style="1" bestFit="1" customWidth="1"/>
    <col min="8" max="8" width="9.625" style="1" bestFit="1" customWidth="1"/>
    <col min="9" max="9" width="7.625" style="1" bestFit="1" customWidth="1"/>
    <col min="10" max="10" width="9.625" style="1" bestFit="1" customWidth="1"/>
    <col min="11" max="11" width="7.625" style="1" bestFit="1" customWidth="1"/>
    <col min="12" max="12" width="9.625" style="1" bestFit="1" customWidth="1"/>
    <col min="13" max="13" width="7.625" style="1" bestFit="1" customWidth="1"/>
    <col min="14" max="14" width="9.625" style="1" bestFit="1" customWidth="1"/>
    <col min="15" max="15" width="7.625" style="1" bestFit="1" customWidth="1"/>
    <col min="16" max="16" width="9" style="1"/>
    <col min="17" max="17" width="7.62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18.75" customHeight="1" x14ac:dyDescent="0.15">
      <c r="A6" s="139" t="s">
        <v>0</v>
      </c>
      <c r="B6" s="141" t="s">
        <v>40</v>
      </c>
      <c r="C6" s="142" t="s">
        <v>14</v>
      </c>
      <c r="D6" s="25">
        <v>184</v>
      </c>
      <c r="E6" s="50">
        <v>0</v>
      </c>
      <c r="F6" s="25">
        <v>202</v>
      </c>
      <c r="G6" s="50">
        <v>0</v>
      </c>
      <c r="H6" s="25">
        <v>166</v>
      </c>
      <c r="I6" s="50">
        <v>1</v>
      </c>
      <c r="J6" s="25">
        <v>233</v>
      </c>
      <c r="K6" s="50">
        <v>2</v>
      </c>
      <c r="L6" s="25">
        <v>229</v>
      </c>
      <c r="M6" s="50">
        <v>2</v>
      </c>
      <c r="N6" s="25">
        <v>206</v>
      </c>
      <c r="O6" s="50">
        <v>2</v>
      </c>
      <c r="P6" s="30">
        <v>173</v>
      </c>
      <c r="Q6" s="60">
        <v>4</v>
      </c>
    </row>
    <row r="7" spans="1:17" ht="19.5" thickBot="1" x14ac:dyDescent="0.2">
      <c r="A7" s="131"/>
      <c r="B7" s="112"/>
      <c r="C7" s="143"/>
      <c r="D7" s="24"/>
      <c r="E7" s="51">
        <f>E6/D6</f>
        <v>0</v>
      </c>
      <c r="F7" s="16">
        <f>F6/D6</f>
        <v>1.0978260869565217</v>
      </c>
      <c r="G7" s="57">
        <f>G6/F6</f>
        <v>0</v>
      </c>
      <c r="H7" s="16">
        <f>H6/F6</f>
        <v>0.82178217821782173</v>
      </c>
      <c r="I7" s="57">
        <f>I6/H6</f>
        <v>6.024096385542169E-3</v>
      </c>
      <c r="J7" s="16">
        <f>J6/H6</f>
        <v>1.4036144578313252</v>
      </c>
      <c r="K7" s="57">
        <f>K6/J6</f>
        <v>8.5836909871244635E-3</v>
      </c>
      <c r="L7" s="16">
        <f>L6/J6</f>
        <v>0.98283261802575106</v>
      </c>
      <c r="M7" s="57">
        <f>M6/L6</f>
        <v>8.7336244541484712E-3</v>
      </c>
      <c r="N7" s="16">
        <f>N6/L6</f>
        <v>0.89956331877729256</v>
      </c>
      <c r="O7" s="57">
        <f>O6/N6</f>
        <v>9.7087378640776691E-3</v>
      </c>
      <c r="P7" s="16">
        <f>P6/N6</f>
        <v>0.83980582524271841</v>
      </c>
      <c r="Q7" s="57">
        <f>Q6/P6</f>
        <v>2.3121387283236993E-2</v>
      </c>
    </row>
    <row r="8" spans="1:17" ht="22.5" x14ac:dyDescent="0.15">
      <c r="A8" s="131"/>
      <c r="B8" s="111" t="s">
        <v>42</v>
      </c>
      <c r="C8" s="142" t="s">
        <v>21</v>
      </c>
      <c r="D8" s="25">
        <v>225</v>
      </c>
      <c r="E8" s="50">
        <v>26</v>
      </c>
      <c r="F8" s="25">
        <v>172</v>
      </c>
      <c r="G8" s="50">
        <v>20</v>
      </c>
      <c r="H8" s="25">
        <v>215</v>
      </c>
      <c r="I8" s="50">
        <v>11</v>
      </c>
      <c r="J8" s="25">
        <v>178</v>
      </c>
      <c r="K8" s="50">
        <v>11</v>
      </c>
      <c r="L8" s="25">
        <v>168</v>
      </c>
      <c r="M8" s="50">
        <v>15</v>
      </c>
      <c r="N8" s="25">
        <v>139</v>
      </c>
      <c r="O8" s="50">
        <v>16</v>
      </c>
      <c r="P8" s="31">
        <v>137</v>
      </c>
      <c r="Q8" s="61">
        <v>45</v>
      </c>
    </row>
    <row r="9" spans="1:17" ht="19.5" thickBot="1" x14ac:dyDescent="0.2">
      <c r="A9" s="131"/>
      <c r="B9" s="112"/>
      <c r="C9" s="143"/>
      <c r="D9" s="24"/>
      <c r="E9" s="51">
        <f>E8/D8</f>
        <v>0.11555555555555555</v>
      </c>
      <c r="F9" s="16">
        <f>F8/D8</f>
        <v>0.76444444444444448</v>
      </c>
      <c r="G9" s="57">
        <f>G8/F8</f>
        <v>0.11627906976744186</v>
      </c>
      <c r="H9" s="16">
        <f>H8/F8</f>
        <v>1.25</v>
      </c>
      <c r="I9" s="57">
        <f>I8/H8</f>
        <v>5.1162790697674418E-2</v>
      </c>
      <c r="J9" s="16">
        <f>J8/H8</f>
        <v>0.82790697674418601</v>
      </c>
      <c r="K9" s="57">
        <f>K8/J8</f>
        <v>6.1797752808988762E-2</v>
      </c>
      <c r="L9" s="16">
        <f>L8/J8</f>
        <v>0.9438202247191011</v>
      </c>
      <c r="M9" s="57">
        <f>M8/L8</f>
        <v>8.9285714285714288E-2</v>
      </c>
      <c r="N9" s="16">
        <f>N8/L8</f>
        <v>0.82738095238095233</v>
      </c>
      <c r="O9" s="57">
        <f>O8/N8</f>
        <v>0.11510791366906475</v>
      </c>
      <c r="P9" s="16">
        <f>P8/N8</f>
        <v>0.98561151079136688</v>
      </c>
      <c r="Q9" s="57">
        <f>Q8/P8</f>
        <v>0.32846715328467152</v>
      </c>
    </row>
    <row r="10" spans="1:17" ht="18.75" customHeight="1" x14ac:dyDescent="0.15">
      <c r="A10" s="139" t="s">
        <v>1</v>
      </c>
      <c r="B10" s="141" t="s">
        <v>40</v>
      </c>
      <c r="C10" s="142" t="s">
        <v>14</v>
      </c>
      <c r="D10" s="25">
        <v>283</v>
      </c>
      <c r="E10" s="50">
        <v>2</v>
      </c>
      <c r="F10" s="25">
        <v>308</v>
      </c>
      <c r="G10" s="50">
        <v>2</v>
      </c>
      <c r="H10" s="25">
        <v>360</v>
      </c>
      <c r="I10" s="50">
        <v>3</v>
      </c>
      <c r="J10" s="25">
        <v>359</v>
      </c>
      <c r="K10" s="50">
        <v>3</v>
      </c>
      <c r="L10" s="25">
        <v>287</v>
      </c>
      <c r="M10" s="50">
        <v>2</v>
      </c>
      <c r="N10" s="25">
        <v>236</v>
      </c>
      <c r="O10" s="50">
        <v>0</v>
      </c>
      <c r="P10" s="31">
        <v>184</v>
      </c>
      <c r="Q10" s="61">
        <v>0</v>
      </c>
    </row>
    <row r="11" spans="1:17" ht="19.5" thickBot="1" x14ac:dyDescent="0.2">
      <c r="A11" s="131"/>
      <c r="B11" s="112"/>
      <c r="C11" s="143"/>
      <c r="D11" s="24"/>
      <c r="E11" s="51">
        <f>E10/D10</f>
        <v>7.0671378091872791E-3</v>
      </c>
      <c r="F11" s="16">
        <f>F10/D10</f>
        <v>1.088339222614841</v>
      </c>
      <c r="G11" s="57">
        <f>G10/F10</f>
        <v>6.4935064935064939E-3</v>
      </c>
      <c r="H11" s="16">
        <f>H10/F10</f>
        <v>1.1688311688311688</v>
      </c>
      <c r="I11" s="57">
        <f>I10/H10</f>
        <v>8.3333333333333332E-3</v>
      </c>
      <c r="J11" s="16">
        <f>J10/H10</f>
        <v>0.99722222222222223</v>
      </c>
      <c r="K11" s="57">
        <f>K10/J10</f>
        <v>8.356545961002786E-3</v>
      </c>
      <c r="L11" s="16">
        <f>L10/J10</f>
        <v>0.79944289693593318</v>
      </c>
      <c r="M11" s="57">
        <f>M10/L10</f>
        <v>6.9686411149825784E-3</v>
      </c>
      <c r="N11" s="16">
        <f>N10/L10</f>
        <v>0.82229965156794427</v>
      </c>
      <c r="O11" s="57">
        <f>O10/N10</f>
        <v>0</v>
      </c>
      <c r="P11" s="16">
        <f>P10/N10</f>
        <v>0.77966101694915257</v>
      </c>
      <c r="Q11" s="57">
        <f>Q10/P10</f>
        <v>0</v>
      </c>
    </row>
    <row r="12" spans="1:17" ht="22.5" x14ac:dyDescent="0.15">
      <c r="A12" s="131"/>
      <c r="B12" s="111" t="s">
        <v>42</v>
      </c>
      <c r="C12" s="142" t="s">
        <v>21</v>
      </c>
      <c r="D12" s="25">
        <v>280</v>
      </c>
      <c r="E12" s="50">
        <v>10</v>
      </c>
      <c r="F12" s="25">
        <v>287</v>
      </c>
      <c r="G12" s="50">
        <v>16</v>
      </c>
      <c r="H12" s="25">
        <v>246</v>
      </c>
      <c r="I12" s="50">
        <v>14</v>
      </c>
      <c r="J12" s="25">
        <v>183</v>
      </c>
      <c r="K12" s="50">
        <v>2</v>
      </c>
      <c r="L12" s="25">
        <v>161</v>
      </c>
      <c r="M12" s="50">
        <v>6</v>
      </c>
      <c r="N12" s="25">
        <v>161</v>
      </c>
      <c r="O12" s="50">
        <v>16</v>
      </c>
      <c r="P12" s="31">
        <v>132</v>
      </c>
      <c r="Q12" s="61">
        <v>21</v>
      </c>
    </row>
    <row r="13" spans="1:17" ht="19.5" thickBot="1" x14ac:dyDescent="0.2">
      <c r="A13" s="131"/>
      <c r="B13" s="112"/>
      <c r="C13" s="143"/>
      <c r="D13" s="24"/>
      <c r="E13" s="51">
        <f>E12/D12</f>
        <v>3.5714285714285712E-2</v>
      </c>
      <c r="F13" s="16">
        <f>F12/D12</f>
        <v>1.0249999999999999</v>
      </c>
      <c r="G13" s="57">
        <f>G12/F12</f>
        <v>5.5749128919860627E-2</v>
      </c>
      <c r="H13" s="16">
        <f>H12/F12</f>
        <v>0.8571428571428571</v>
      </c>
      <c r="I13" s="57">
        <f>I12/H12</f>
        <v>5.6910569105691054E-2</v>
      </c>
      <c r="J13" s="16">
        <f>J12/H12</f>
        <v>0.74390243902439024</v>
      </c>
      <c r="K13" s="57">
        <f>K12/J12</f>
        <v>1.092896174863388E-2</v>
      </c>
      <c r="L13" s="16">
        <f>L12/J12</f>
        <v>0.8797814207650273</v>
      </c>
      <c r="M13" s="57">
        <f>M12/L12</f>
        <v>3.7267080745341616E-2</v>
      </c>
      <c r="N13" s="16">
        <f>N12/L12</f>
        <v>1</v>
      </c>
      <c r="O13" s="57">
        <f>O12/N12</f>
        <v>9.9378881987577633E-2</v>
      </c>
      <c r="P13" s="16">
        <f>P12/N12</f>
        <v>0.81987577639751552</v>
      </c>
      <c r="Q13" s="57">
        <f>Q12/P12</f>
        <v>0.15909090909090909</v>
      </c>
    </row>
    <row r="14" spans="1:17" ht="18.75" customHeight="1" x14ac:dyDescent="0.15">
      <c r="A14" s="129" t="s">
        <v>39</v>
      </c>
      <c r="B14" s="104" t="s">
        <v>40</v>
      </c>
      <c r="C14" s="118" t="s">
        <v>14</v>
      </c>
      <c r="D14" s="6"/>
      <c r="E14" s="7"/>
      <c r="F14" s="6"/>
      <c r="G14" s="7"/>
      <c r="H14" s="26">
        <v>215</v>
      </c>
      <c r="I14" s="52">
        <v>1</v>
      </c>
      <c r="J14" s="26">
        <v>218</v>
      </c>
      <c r="K14" s="52">
        <v>0</v>
      </c>
      <c r="L14" s="26">
        <v>227</v>
      </c>
      <c r="M14" s="52">
        <v>0</v>
      </c>
      <c r="N14" s="26">
        <v>218</v>
      </c>
      <c r="O14" s="52">
        <v>0</v>
      </c>
      <c r="P14" s="28">
        <v>187</v>
      </c>
      <c r="Q14" s="62">
        <v>0</v>
      </c>
    </row>
    <row r="15" spans="1:17" ht="19.5" thickBot="1" x14ac:dyDescent="0.2">
      <c r="A15" s="123"/>
      <c r="B15" s="105"/>
      <c r="C15" s="119"/>
      <c r="D15" s="100"/>
      <c r="E15" s="97"/>
      <c r="F15" s="100"/>
      <c r="G15" s="97"/>
      <c r="H15" s="19"/>
      <c r="I15" s="53">
        <f>I14/H14</f>
        <v>4.6511627906976744E-3</v>
      </c>
      <c r="J15" s="47">
        <f>J14/H14</f>
        <v>1.0139534883720931</v>
      </c>
      <c r="K15" s="53">
        <f>K14/J14</f>
        <v>0</v>
      </c>
      <c r="L15" s="47">
        <f>L14/J14</f>
        <v>1.0412844036697249</v>
      </c>
      <c r="M15" s="53">
        <f>M14/L14</f>
        <v>0</v>
      </c>
      <c r="N15" s="47">
        <f>N14/L14</f>
        <v>0.96035242290748901</v>
      </c>
      <c r="O15" s="53">
        <f>O14/N14</f>
        <v>0</v>
      </c>
      <c r="P15" s="47">
        <f>P14/N14</f>
        <v>0.85779816513761464</v>
      </c>
      <c r="Q15" s="63">
        <f>Q14/P14</f>
        <v>0</v>
      </c>
    </row>
    <row r="16" spans="1:17" ht="22.5" x14ac:dyDescent="0.15">
      <c r="A16" s="123"/>
      <c r="B16" s="104" t="s">
        <v>41</v>
      </c>
      <c r="C16" s="118" t="s">
        <v>38</v>
      </c>
      <c r="D16" s="6"/>
      <c r="E16" s="7"/>
      <c r="F16" s="6"/>
      <c r="G16" s="7"/>
      <c r="H16" s="26">
        <v>119</v>
      </c>
      <c r="I16" s="52">
        <v>1</v>
      </c>
      <c r="J16" s="26">
        <v>109</v>
      </c>
      <c r="K16" s="52">
        <v>0</v>
      </c>
      <c r="L16" s="26">
        <v>93</v>
      </c>
      <c r="M16" s="52">
        <v>0</v>
      </c>
      <c r="N16" s="26">
        <v>70</v>
      </c>
      <c r="O16" s="52">
        <v>0</v>
      </c>
      <c r="P16" s="28">
        <v>48</v>
      </c>
      <c r="Q16" s="62">
        <v>0</v>
      </c>
    </row>
    <row r="17" spans="1:17" ht="19.5" thickBot="1" x14ac:dyDescent="0.2">
      <c r="A17" s="123"/>
      <c r="B17" s="105"/>
      <c r="C17" s="119"/>
      <c r="D17" s="100"/>
      <c r="E17" s="97"/>
      <c r="F17" s="100"/>
      <c r="G17" s="97"/>
      <c r="H17" s="19"/>
      <c r="I17" s="53">
        <f>I16/H16</f>
        <v>8.4033613445378148E-3</v>
      </c>
      <c r="J17" s="47">
        <f>J16/H16</f>
        <v>0.91596638655462181</v>
      </c>
      <c r="K17" s="53">
        <f>K16/J16</f>
        <v>0</v>
      </c>
      <c r="L17" s="47">
        <f>L16/J16</f>
        <v>0.85321100917431192</v>
      </c>
      <c r="M17" s="53">
        <f>M16/L16</f>
        <v>0</v>
      </c>
      <c r="N17" s="47">
        <f>N16/L16</f>
        <v>0.75268817204301075</v>
      </c>
      <c r="O17" s="53">
        <f>O16/N16</f>
        <v>0</v>
      </c>
      <c r="P17" s="47">
        <f>P16/N16</f>
        <v>0.68571428571428572</v>
      </c>
      <c r="Q17" s="63">
        <f>Q16/P16</f>
        <v>0</v>
      </c>
    </row>
    <row r="18" spans="1:17" ht="22.5" x14ac:dyDescent="0.15">
      <c r="A18" s="123"/>
      <c r="B18" s="104" t="s">
        <v>42</v>
      </c>
      <c r="C18" s="118" t="s">
        <v>21</v>
      </c>
      <c r="D18" s="6"/>
      <c r="E18" s="7"/>
      <c r="F18" s="6"/>
      <c r="G18" s="7"/>
      <c r="H18" s="26">
        <v>282</v>
      </c>
      <c r="I18" s="52">
        <v>12</v>
      </c>
      <c r="J18" s="26">
        <v>254</v>
      </c>
      <c r="K18" s="52">
        <v>3</v>
      </c>
      <c r="L18" s="26">
        <v>220</v>
      </c>
      <c r="M18" s="52">
        <v>3</v>
      </c>
      <c r="N18" s="26">
        <v>190</v>
      </c>
      <c r="O18" s="52">
        <v>3</v>
      </c>
      <c r="P18" s="28">
        <v>159</v>
      </c>
      <c r="Q18" s="62">
        <v>13</v>
      </c>
    </row>
    <row r="19" spans="1:17" ht="19.5" thickBot="1" x14ac:dyDescent="0.2">
      <c r="A19" s="123"/>
      <c r="B19" s="105"/>
      <c r="C19" s="119"/>
      <c r="D19" s="100"/>
      <c r="E19" s="97"/>
      <c r="F19" s="100"/>
      <c r="G19" s="97"/>
      <c r="H19" s="19"/>
      <c r="I19" s="53">
        <f>I18/H18</f>
        <v>4.2553191489361701E-2</v>
      </c>
      <c r="J19" s="47">
        <f>J18/H18</f>
        <v>0.900709219858156</v>
      </c>
      <c r="K19" s="53">
        <f>K18/J18</f>
        <v>1.1811023622047244E-2</v>
      </c>
      <c r="L19" s="47">
        <f>L18/J18</f>
        <v>0.86614173228346458</v>
      </c>
      <c r="M19" s="53">
        <f>M18/L18</f>
        <v>1.3636363636363636E-2</v>
      </c>
      <c r="N19" s="47">
        <f>N18/L18</f>
        <v>0.86363636363636365</v>
      </c>
      <c r="O19" s="53">
        <f>O18/N18</f>
        <v>1.5789473684210527E-2</v>
      </c>
      <c r="P19" s="47">
        <f>P18/N18</f>
        <v>0.83684210526315794</v>
      </c>
      <c r="Q19" s="63">
        <f>Q18/P18</f>
        <v>8.1761006289308172E-2</v>
      </c>
    </row>
    <row r="20" spans="1:17" ht="22.5" x14ac:dyDescent="0.15">
      <c r="A20" s="123"/>
      <c r="B20" s="98" t="s">
        <v>43</v>
      </c>
      <c r="C20" s="118" t="s">
        <v>21</v>
      </c>
      <c r="D20" s="6"/>
      <c r="E20" s="7"/>
      <c r="F20" s="6"/>
      <c r="G20" s="7"/>
      <c r="H20" s="26">
        <v>100</v>
      </c>
      <c r="I20" s="52">
        <v>0</v>
      </c>
      <c r="J20" s="26">
        <v>72</v>
      </c>
      <c r="K20" s="52">
        <v>0</v>
      </c>
      <c r="L20" s="26">
        <v>71</v>
      </c>
      <c r="M20" s="52">
        <v>1</v>
      </c>
      <c r="N20" s="26">
        <v>55</v>
      </c>
      <c r="O20" s="52">
        <v>1</v>
      </c>
      <c r="P20" s="28">
        <v>47</v>
      </c>
      <c r="Q20" s="62">
        <v>0</v>
      </c>
    </row>
    <row r="21" spans="1:17" ht="19.5" thickBot="1" x14ac:dyDescent="0.2">
      <c r="A21" s="123"/>
      <c r="B21" s="99"/>
      <c r="C21" s="119"/>
      <c r="D21" s="100"/>
      <c r="E21" s="97"/>
      <c r="F21" s="100"/>
      <c r="G21" s="97"/>
      <c r="H21" s="19"/>
      <c r="I21" s="53">
        <f>I20/H20</f>
        <v>0</v>
      </c>
      <c r="J21" s="47">
        <f>J20/H20</f>
        <v>0.72</v>
      </c>
      <c r="K21" s="53">
        <f>K20/J20</f>
        <v>0</v>
      </c>
      <c r="L21" s="47">
        <f>L20/J20</f>
        <v>0.98611111111111116</v>
      </c>
      <c r="M21" s="53">
        <f>M20/L20</f>
        <v>1.4084507042253521E-2</v>
      </c>
      <c r="N21" s="47">
        <f>N20/L20</f>
        <v>0.77464788732394363</v>
      </c>
      <c r="O21" s="53">
        <f>O20/N20</f>
        <v>1.8181818181818181E-2</v>
      </c>
      <c r="P21" s="47">
        <f>P20/N20</f>
        <v>0.8545454545454545</v>
      </c>
      <c r="Q21" s="63">
        <f>Q20/P20</f>
        <v>0</v>
      </c>
    </row>
    <row r="22" spans="1:17" ht="22.5" x14ac:dyDescent="0.15">
      <c r="A22" s="123"/>
      <c r="B22" s="98" t="s">
        <v>261</v>
      </c>
      <c r="C22" s="118" t="s">
        <v>21</v>
      </c>
      <c r="D22" s="6"/>
      <c r="E22" s="7"/>
      <c r="F22" s="6"/>
      <c r="G22" s="7"/>
      <c r="H22" s="26">
        <v>55</v>
      </c>
      <c r="I22" s="52">
        <v>1</v>
      </c>
      <c r="J22" s="26">
        <v>42</v>
      </c>
      <c r="K22" s="52">
        <v>1</v>
      </c>
      <c r="L22" s="26">
        <v>32</v>
      </c>
      <c r="M22" s="52">
        <v>0</v>
      </c>
      <c r="N22" s="26">
        <v>30</v>
      </c>
      <c r="O22" s="52">
        <v>0</v>
      </c>
      <c r="P22" s="28">
        <v>34</v>
      </c>
      <c r="Q22" s="62">
        <v>1</v>
      </c>
    </row>
    <row r="23" spans="1:17" ht="19.5" thickBot="1" x14ac:dyDescent="0.2">
      <c r="A23" s="123"/>
      <c r="B23" s="99"/>
      <c r="C23" s="119"/>
      <c r="D23" s="100"/>
      <c r="E23" s="97"/>
      <c r="F23" s="100"/>
      <c r="G23" s="97"/>
      <c r="H23" s="19"/>
      <c r="I23" s="53">
        <f>I22/H22</f>
        <v>1.8181818181818181E-2</v>
      </c>
      <c r="J23" s="47">
        <f>J22/H22</f>
        <v>0.76363636363636367</v>
      </c>
      <c r="K23" s="53">
        <f>K22/J22</f>
        <v>2.3809523809523808E-2</v>
      </c>
      <c r="L23" s="47">
        <f>L22/J22</f>
        <v>0.76190476190476186</v>
      </c>
      <c r="M23" s="53">
        <f>M22/L22</f>
        <v>0</v>
      </c>
      <c r="N23" s="47">
        <f>N22/L22</f>
        <v>0.9375</v>
      </c>
      <c r="O23" s="53">
        <f>O22/N22</f>
        <v>0</v>
      </c>
      <c r="P23" s="47">
        <f>P22/N22</f>
        <v>1.1333333333333333</v>
      </c>
      <c r="Q23" s="63">
        <f>Q22/P22</f>
        <v>2.9411764705882353E-2</v>
      </c>
    </row>
    <row r="24" spans="1:17" ht="22.5" x14ac:dyDescent="0.15">
      <c r="A24" s="123"/>
      <c r="B24" s="98" t="s">
        <v>262</v>
      </c>
      <c r="C24" s="118" t="s">
        <v>21</v>
      </c>
      <c r="D24" s="6"/>
      <c r="E24" s="7"/>
      <c r="F24" s="6"/>
      <c r="G24" s="7"/>
      <c r="H24" s="26">
        <v>90</v>
      </c>
      <c r="I24" s="52">
        <v>3</v>
      </c>
      <c r="J24" s="26">
        <v>76</v>
      </c>
      <c r="K24" s="52">
        <v>1</v>
      </c>
      <c r="L24" s="26">
        <v>62</v>
      </c>
      <c r="M24" s="52">
        <v>1</v>
      </c>
      <c r="N24" s="26">
        <v>42</v>
      </c>
      <c r="O24" s="52">
        <v>1</v>
      </c>
      <c r="P24" s="28">
        <v>34</v>
      </c>
      <c r="Q24" s="62">
        <v>4</v>
      </c>
    </row>
    <row r="25" spans="1:17" ht="19.5" thickBot="1" x14ac:dyDescent="0.2">
      <c r="A25" s="123"/>
      <c r="B25" s="99"/>
      <c r="C25" s="119"/>
      <c r="D25" s="100"/>
      <c r="E25" s="97"/>
      <c r="F25" s="100"/>
      <c r="G25" s="97"/>
      <c r="H25" s="19"/>
      <c r="I25" s="53">
        <f>I24/H24</f>
        <v>3.3333333333333333E-2</v>
      </c>
      <c r="J25" s="47">
        <f>J24/H24</f>
        <v>0.84444444444444444</v>
      </c>
      <c r="K25" s="53">
        <f>K24/J24</f>
        <v>1.3157894736842105E-2</v>
      </c>
      <c r="L25" s="47">
        <f>L24/J24</f>
        <v>0.81578947368421051</v>
      </c>
      <c r="M25" s="53">
        <f>M24/L24</f>
        <v>1.6129032258064516E-2</v>
      </c>
      <c r="N25" s="47">
        <f>N24/L24</f>
        <v>0.67741935483870963</v>
      </c>
      <c r="O25" s="53">
        <f>O24/N24</f>
        <v>2.3809523809523808E-2</v>
      </c>
      <c r="P25" s="47">
        <f>P24/N24</f>
        <v>0.80952380952380953</v>
      </c>
      <c r="Q25" s="63">
        <f>Q24/P24</f>
        <v>0.11764705882352941</v>
      </c>
    </row>
    <row r="26" spans="1:17" ht="22.5" x14ac:dyDescent="0.15">
      <c r="A26" s="98" t="s">
        <v>94</v>
      </c>
      <c r="B26" s="108" t="s">
        <v>75</v>
      </c>
      <c r="C26" s="118" t="s">
        <v>38</v>
      </c>
      <c r="D26" s="6"/>
      <c r="E26" s="7"/>
      <c r="F26" s="6"/>
      <c r="G26" s="7"/>
      <c r="H26" s="26">
        <v>86</v>
      </c>
      <c r="I26" s="52">
        <v>1</v>
      </c>
      <c r="J26" s="26">
        <v>79</v>
      </c>
      <c r="K26" s="52">
        <v>0</v>
      </c>
      <c r="L26" s="26">
        <v>89</v>
      </c>
      <c r="M26" s="52">
        <v>0</v>
      </c>
      <c r="N26" s="26">
        <v>90</v>
      </c>
      <c r="O26" s="52">
        <v>0</v>
      </c>
      <c r="P26" s="28">
        <v>88</v>
      </c>
      <c r="Q26" s="62">
        <v>0</v>
      </c>
    </row>
    <row r="27" spans="1:17" ht="19.5" thickBot="1" x14ac:dyDescent="0.2">
      <c r="A27" s="144"/>
      <c r="B27" s="107"/>
      <c r="C27" s="119"/>
      <c r="D27" s="100"/>
      <c r="E27" s="97"/>
      <c r="F27" s="100"/>
      <c r="G27" s="97"/>
      <c r="H27" s="19"/>
      <c r="I27" s="53">
        <f>I26/H26</f>
        <v>1.1627906976744186E-2</v>
      </c>
      <c r="J27" s="47">
        <f>J26/H26</f>
        <v>0.91860465116279066</v>
      </c>
      <c r="K27" s="53">
        <f>K26/J26</f>
        <v>0</v>
      </c>
      <c r="L27" s="47">
        <f>L26/J26</f>
        <v>1.1265822784810127</v>
      </c>
      <c r="M27" s="53">
        <f>M26/L26</f>
        <v>0</v>
      </c>
      <c r="N27" s="47">
        <f>N26/L26</f>
        <v>1.0112359550561798</v>
      </c>
      <c r="O27" s="53">
        <f>O26/N26</f>
        <v>0</v>
      </c>
      <c r="P27" s="47">
        <f>P26/N26</f>
        <v>0.97777777777777775</v>
      </c>
      <c r="Q27" s="63">
        <f>Q26/P26</f>
        <v>0</v>
      </c>
    </row>
    <row r="28" spans="1:17" ht="19.5" customHeight="1" x14ac:dyDescent="0.15">
      <c r="A28" s="144"/>
      <c r="B28" s="108" t="s">
        <v>95</v>
      </c>
      <c r="C28" s="118" t="s">
        <v>21</v>
      </c>
      <c r="D28" s="6"/>
      <c r="E28" s="7"/>
      <c r="F28" s="6"/>
      <c r="G28" s="7"/>
      <c r="H28" s="26">
        <v>132</v>
      </c>
      <c r="I28" s="52">
        <v>3</v>
      </c>
      <c r="J28" s="26">
        <v>128</v>
      </c>
      <c r="K28" s="52">
        <v>4</v>
      </c>
      <c r="L28" s="26">
        <v>116</v>
      </c>
      <c r="M28" s="52">
        <v>2</v>
      </c>
      <c r="N28" s="26">
        <v>123</v>
      </c>
      <c r="O28" s="52">
        <v>3</v>
      </c>
      <c r="P28" s="28">
        <v>109</v>
      </c>
      <c r="Q28" s="62">
        <v>10</v>
      </c>
    </row>
    <row r="29" spans="1:17" ht="19.5" thickBot="1" x14ac:dyDescent="0.2">
      <c r="A29" s="144"/>
      <c r="B29" s="107"/>
      <c r="C29" s="119"/>
      <c r="D29" s="100"/>
      <c r="E29" s="97"/>
      <c r="F29" s="100"/>
      <c r="G29" s="97"/>
      <c r="H29" s="19"/>
      <c r="I29" s="53">
        <f>I28/H28</f>
        <v>2.2727272727272728E-2</v>
      </c>
      <c r="J29" s="47">
        <f>J28/H28</f>
        <v>0.96969696969696972</v>
      </c>
      <c r="K29" s="53">
        <f>K28/J28</f>
        <v>3.125E-2</v>
      </c>
      <c r="L29" s="47">
        <f>L28/J28</f>
        <v>0.90625</v>
      </c>
      <c r="M29" s="53">
        <f>M28/L28</f>
        <v>1.7241379310344827E-2</v>
      </c>
      <c r="N29" s="47">
        <f>N28/L28</f>
        <v>1.0603448275862069</v>
      </c>
      <c r="O29" s="53">
        <f>O28/N28</f>
        <v>2.4390243902439025E-2</v>
      </c>
      <c r="P29" s="47">
        <f>P28/N28</f>
        <v>0.88617886178861793</v>
      </c>
      <c r="Q29" s="63">
        <f>Q28/P28</f>
        <v>9.1743119266055051E-2</v>
      </c>
    </row>
    <row r="30" spans="1:17" ht="18.75" customHeight="1" x14ac:dyDescent="0.15">
      <c r="A30" s="144"/>
      <c r="B30" s="108" t="s">
        <v>96</v>
      </c>
      <c r="C30" s="118" t="s">
        <v>21</v>
      </c>
      <c r="D30" s="6"/>
      <c r="E30" s="7"/>
      <c r="F30" s="6"/>
      <c r="G30" s="7"/>
      <c r="H30" s="34">
        <v>58</v>
      </c>
      <c r="I30" s="56">
        <v>2</v>
      </c>
      <c r="J30" s="34">
        <v>55</v>
      </c>
      <c r="K30" s="56">
        <v>0</v>
      </c>
      <c r="L30" s="34">
        <v>57</v>
      </c>
      <c r="M30" s="52">
        <v>0</v>
      </c>
      <c r="N30" s="34">
        <v>63</v>
      </c>
      <c r="O30" s="52">
        <v>1</v>
      </c>
      <c r="P30" s="28">
        <v>56</v>
      </c>
      <c r="Q30" s="62">
        <v>2</v>
      </c>
    </row>
    <row r="31" spans="1:17" ht="19.5" customHeight="1" thickBot="1" x14ac:dyDescent="0.2">
      <c r="A31" s="144"/>
      <c r="B31" s="107"/>
      <c r="C31" s="119"/>
      <c r="D31" s="100"/>
      <c r="E31" s="97"/>
      <c r="F31" s="100"/>
      <c r="G31" s="97"/>
      <c r="H31" s="19"/>
      <c r="I31" s="53">
        <f>I30/H30</f>
        <v>3.4482758620689655E-2</v>
      </c>
      <c r="J31" s="47">
        <f>J30/H30</f>
        <v>0.94827586206896552</v>
      </c>
      <c r="K31" s="53">
        <f>K30/J30</f>
        <v>0</v>
      </c>
      <c r="L31" s="47">
        <f>L30/J30</f>
        <v>1.0363636363636364</v>
      </c>
      <c r="M31" s="53">
        <f>M30/L30</f>
        <v>0</v>
      </c>
      <c r="N31" s="47">
        <f>N30/L30</f>
        <v>1.1052631578947369</v>
      </c>
      <c r="O31" s="53">
        <f>O30/N30</f>
        <v>1.5873015873015872E-2</v>
      </c>
      <c r="P31" s="47">
        <f>P30/N30</f>
        <v>0.88888888888888884</v>
      </c>
      <c r="Q31" s="63">
        <f>Q30/P30</f>
        <v>3.5714285714285712E-2</v>
      </c>
    </row>
    <row r="32" spans="1:17" ht="19.5" customHeight="1" x14ac:dyDescent="0.15">
      <c r="A32" s="144"/>
      <c r="B32" s="108" t="s">
        <v>243</v>
      </c>
      <c r="C32" s="118" t="s">
        <v>38</v>
      </c>
      <c r="D32" s="6"/>
      <c r="E32" s="7"/>
      <c r="F32" s="6"/>
      <c r="G32" s="7"/>
      <c r="H32" s="26">
        <v>86</v>
      </c>
      <c r="I32" s="52">
        <v>2</v>
      </c>
      <c r="J32" s="26">
        <v>85</v>
      </c>
      <c r="K32" s="52">
        <v>2</v>
      </c>
      <c r="L32" s="26">
        <v>78</v>
      </c>
      <c r="M32" s="52">
        <v>0</v>
      </c>
      <c r="N32" s="26">
        <v>71</v>
      </c>
      <c r="O32" s="52">
        <v>0</v>
      </c>
      <c r="P32" s="28">
        <v>62</v>
      </c>
      <c r="Q32" s="62">
        <v>0</v>
      </c>
    </row>
    <row r="33" spans="1:17" ht="19.5" thickBot="1" x14ac:dyDescent="0.2">
      <c r="A33" s="144"/>
      <c r="B33" s="107"/>
      <c r="C33" s="119"/>
      <c r="D33" s="100"/>
      <c r="E33" s="97"/>
      <c r="F33" s="100"/>
      <c r="G33" s="97"/>
      <c r="H33" s="19"/>
      <c r="I33" s="53">
        <f>I32/H32</f>
        <v>2.3255813953488372E-2</v>
      </c>
      <c r="J33" s="47">
        <f>J32/H32</f>
        <v>0.98837209302325579</v>
      </c>
      <c r="K33" s="53">
        <f>K32/J32</f>
        <v>2.3529411764705882E-2</v>
      </c>
      <c r="L33" s="47">
        <f>L32/J32</f>
        <v>0.91764705882352937</v>
      </c>
      <c r="M33" s="53">
        <f>M32/L32</f>
        <v>0</v>
      </c>
      <c r="N33" s="47">
        <f>N32/L32</f>
        <v>0.91025641025641024</v>
      </c>
      <c r="O33" s="53">
        <f>O32/N32</f>
        <v>0</v>
      </c>
      <c r="P33" s="47">
        <f>P32/N32</f>
        <v>0.87323943661971826</v>
      </c>
      <c r="Q33" s="63">
        <f>Q32/P32</f>
        <v>0</v>
      </c>
    </row>
    <row r="34" spans="1:17" ht="18.75" customHeight="1" x14ac:dyDescent="0.15">
      <c r="A34" s="144"/>
      <c r="B34" s="108" t="s">
        <v>244</v>
      </c>
      <c r="C34" s="118" t="s">
        <v>21</v>
      </c>
      <c r="D34" s="6"/>
      <c r="E34" s="7"/>
      <c r="F34" s="6"/>
      <c r="G34" s="7"/>
      <c r="H34" s="34">
        <v>56</v>
      </c>
      <c r="I34" s="56">
        <v>4</v>
      </c>
      <c r="J34" s="34">
        <v>51</v>
      </c>
      <c r="K34" s="56">
        <v>1</v>
      </c>
      <c r="L34" s="34">
        <v>46</v>
      </c>
      <c r="M34" s="52">
        <v>2</v>
      </c>
      <c r="N34" s="34">
        <v>38</v>
      </c>
      <c r="O34" s="52">
        <v>5</v>
      </c>
      <c r="P34" s="28">
        <v>38</v>
      </c>
      <c r="Q34" s="62">
        <v>4</v>
      </c>
    </row>
    <row r="35" spans="1:17" ht="19.5" customHeight="1" thickBot="1" x14ac:dyDescent="0.2">
      <c r="A35" s="144"/>
      <c r="B35" s="107"/>
      <c r="C35" s="119"/>
      <c r="D35" s="100"/>
      <c r="E35" s="97"/>
      <c r="F35" s="100"/>
      <c r="G35" s="97"/>
      <c r="H35" s="19"/>
      <c r="I35" s="53">
        <f>I34/H34</f>
        <v>7.1428571428571425E-2</v>
      </c>
      <c r="J35" s="47">
        <f>J34/H34</f>
        <v>0.9107142857142857</v>
      </c>
      <c r="K35" s="53">
        <f>K34/J34</f>
        <v>1.9607843137254902E-2</v>
      </c>
      <c r="L35" s="47">
        <f>L34/J34</f>
        <v>0.90196078431372551</v>
      </c>
      <c r="M35" s="53">
        <f>M34/L34</f>
        <v>4.3478260869565216E-2</v>
      </c>
      <c r="N35" s="47">
        <f>N34/L34</f>
        <v>0.82608695652173914</v>
      </c>
      <c r="O35" s="53">
        <f>O34/N34</f>
        <v>0.13157894736842105</v>
      </c>
      <c r="P35" s="47">
        <f>P34/N34</f>
        <v>1</v>
      </c>
      <c r="Q35" s="63">
        <f>Q34/P34</f>
        <v>0.10526315789473684</v>
      </c>
    </row>
    <row r="36" spans="1:17" ht="18.75" customHeight="1" x14ac:dyDescent="0.15">
      <c r="A36" s="144"/>
      <c r="B36" s="108" t="s">
        <v>245</v>
      </c>
      <c r="C36" s="118" t="s">
        <v>21</v>
      </c>
      <c r="D36" s="6"/>
      <c r="E36" s="7"/>
      <c r="F36" s="6"/>
      <c r="G36" s="7"/>
      <c r="H36" s="34">
        <v>75</v>
      </c>
      <c r="I36" s="56">
        <v>6</v>
      </c>
      <c r="J36" s="34">
        <v>73</v>
      </c>
      <c r="K36" s="56">
        <v>2</v>
      </c>
      <c r="L36" s="34">
        <v>77</v>
      </c>
      <c r="M36" s="52">
        <v>2</v>
      </c>
      <c r="N36" s="34">
        <v>77</v>
      </c>
      <c r="O36" s="52">
        <v>10</v>
      </c>
      <c r="P36" s="28">
        <v>66</v>
      </c>
      <c r="Q36" s="62">
        <v>12</v>
      </c>
    </row>
    <row r="37" spans="1:17" ht="19.5" customHeight="1" thickBot="1" x14ac:dyDescent="0.2">
      <c r="A37" s="99"/>
      <c r="B37" s="107"/>
      <c r="C37" s="119"/>
      <c r="D37" s="100"/>
      <c r="E37" s="97"/>
      <c r="F37" s="100"/>
      <c r="G37" s="97"/>
      <c r="H37" s="19"/>
      <c r="I37" s="53">
        <f>I36/H36</f>
        <v>0.08</v>
      </c>
      <c r="J37" s="47">
        <f>J36/H36</f>
        <v>0.97333333333333338</v>
      </c>
      <c r="K37" s="53">
        <f>K36/J36</f>
        <v>2.7397260273972601E-2</v>
      </c>
      <c r="L37" s="47">
        <f>L36/J36</f>
        <v>1.0547945205479452</v>
      </c>
      <c r="M37" s="53">
        <f>M36/L36</f>
        <v>2.5974025974025976E-2</v>
      </c>
      <c r="N37" s="47">
        <f>N36/L36</f>
        <v>1</v>
      </c>
      <c r="O37" s="53">
        <f>O36/N36</f>
        <v>0.12987012987012986</v>
      </c>
      <c r="P37" s="47">
        <f>P36/N36</f>
        <v>0.8571428571428571</v>
      </c>
      <c r="Q37" s="63">
        <f>Q36/P36</f>
        <v>0.18181818181818182</v>
      </c>
    </row>
    <row r="38" spans="1:17" ht="22.5" x14ac:dyDescent="0.15">
      <c r="A38" s="98" t="s">
        <v>326</v>
      </c>
      <c r="B38" s="104" t="s">
        <v>42</v>
      </c>
      <c r="C38" s="118" t="s">
        <v>21</v>
      </c>
      <c r="D38" s="26">
        <v>236</v>
      </c>
      <c r="E38" s="52">
        <v>5</v>
      </c>
      <c r="F38" s="26">
        <v>230</v>
      </c>
      <c r="G38" s="52">
        <v>1</v>
      </c>
      <c r="H38" s="26">
        <v>262</v>
      </c>
      <c r="I38" s="52">
        <v>1</v>
      </c>
      <c r="J38" s="26">
        <v>245</v>
      </c>
      <c r="K38" s="52">
        <v>1</v>
      </c>
      <c r="L38" s="26">
        <v>192</v>
      </c>
      <c r="M38" s="52">
        <v>0</v>
      </c>
      <c r="N38" s="26">
        <v>155</v>
      </c>
      <c r="O38" s="52">
        <v>5</v>
      </c>
      <c r="P38" s="28">
        <v>155</v>
      </c>
      <c r="Q38" s="62">
        <v>4</v>
      </c>
    </row>
    <row r="39" spans="1:17" ht="19.5" customHeight="1" thickBot="1" x14ac:dyDescent="0.2">
      <c r="A39" s="99"/>
      <c r="B39" s="105"/>
      <c r="C39" s="119"/>
      <c r="D39" s="19"/>
      <c r="E39" s="53">
        <f>E38/D38</f>
        <v>2.1186440677966101E-2</v>
      </c>
      <c r="F39" s="47">
        <f>F38/D38</f>
        <v>0.97457627118644063</v>
      </c>
      <c r="G39" s="53">
        <f>G38/F38</f>
        <v>4.3478260869565218E-3</v>
      </c>
      <c r="H39" s="47">
        <f>H38/F38</f>
        <v>1.1391304347826088</v>
      </c>
      <c r="I39" s="53">
        <f>I38/H38</f>
        <v>3.8167938931297708E-3</v>
      </c>
      <c r="J39" s="47">
        <f>J38/H38</f>
        <v>0.93511450381679384</v>
      </c>
      <c r="K39" s="53">
        <f>K38/J38</f>
        <v>4.0816326530612249E-3</v>
      </c>
      <c r="L39" s="47">
        <f>L38/J38</f>
        <v>0.78367346938775506</v>
      </c>
      <c r="M39" s="53">
        <f>M38/L38</f>
        <v>0</v>
      </c>
      <c r="N39" s="47">
        <f>N38/L38</f>
        <v>0.80729166666666663</v>
      </c>
      <c r="O39" s="53">
        <f>O38/N38</f>
        <v>3.2258064516129031E-2</v>
      </c>
      <c r="P39" s="47">
        <f>P38/N38</f>
        <v>1</v>
      </c>
      <c r="Q39" s="63">
        <f>Q38/P38</f>
        <v>2.5806451612903226E-2</v>
      </c>
    </row>
    <row r="40" spans="1:17" ht="19.5" customHeight="1" x14ac:dyDescent="0.15">
      <c r="A40" s="98" t="s">
        <v>11</v>
      </c>
      <c r="B40" s="104" t="s">
        <v>117</v>
      </c>
      <c r="C40" s="118" t="s">
        <v>14</v>
      </c>
      <c r="D40" s="6"/>
      <c r="E40" s="7"/>
      <c r="F40" s="6"/>
      <c r="G40" s="7"/>
      <c r="H40" s="26">
        <v>95</v>
      </c>
      <c r="I40" s="52">
        <v>8</v>
      </c>
      <c r="J40" s="26">
        <v>93</v>
      </c>
      <c r="K40" s="52">
        <v>7</v>
      </c>
      <c r="L40" s="26">
        <v>74</v>
      </c>
      <c r="M40" s="52">
        <v>4</v>
      </c>
      <c r="N40" s="26">
        <v>51</v>
      </c>
      <c r="O40" s="52">
        <v>2</v>
      </c>
      <c r="P40" s="28">
        <v>41</v>
      </c>
      <c r="Q40" s="62">
        <v>7</v>
      </c>
    </row>
    <row r="41" spans="1:17" ht="19.5" customHeight="1" thickBot="1" x14ac:dyDescent="0.2">
      <c r="A41" s="144"/>
      <c r="B41" s="105"/>
      <c r="C41" s="119"/>
      <c r="D41" s="100"/>
      <c r="E41" s="97"/>
      <c r="F41" s="100"/>
      <c r="G41" s="97"/>
      <c r="H41" s="19"/>
      <c r="I41" s="53">
        <f>I40/H40</f>
        <v>8.4210526315789472E-2</v>
      </c>
      <c r="J41" s="47">
        <f>J40/H40</f>
        <v>0.97894736842105268</v>
      </c>
      <c r="K41" s="53">
        <f>K40/J40</f>
        <v>7.5268817204301078E-2</v>
      </c>
      <c r="L41" s="47">
        <f>L40/J40</f>
        <v>0.79569892473118276</v>
      </c>
      <c r="M41" s="53">
        <f>M40/L40</f>
        <v>5.4054054054054057E-2</v>
      </c>
      <c r="N41" s="47">
        <f>N40/L40</f>
        <v>0.68918918918918914</v>
      </c>
      <c r="O41" s="53">
        <f>O40/N40</f>
        <v>3.9215686274509803E-2</v>
      </c>
      <c r="P41" s="47">
        <f>P40/N40</f>
        <v>0.80392156862745101</v>
      </c>
      <c r="Q41" s="63">
        <f>Q40/P40</f>
        <v>0.17073170731707318</v>
      </c>
    </row>
    <row r="42" spans="1:17" ht="19.5" customHeight="1" x14ac:dyDescent="0.15">
      <c r="A42" s="144"/>
      <c r="B42" s="104" t="s">
        <v>118</v>
      </c>
      <c r="C42" s="118" t="s">
        <v>21</v>
      </c>
      <c r="D42" s="6"/>
      <c r="E42" s="7"/>
      <c r="F42" s="6"/>
      <c r="G42" s="7"/>
      <c r="H42" s="26">
        <v>122</v>
      </c>
      <c r="I42" s="52">
        <v>13</v>
      </c>
      <c r="J42" s="26">
        <v>97</v>
      </c>
      <c r="K42" s="52">
        <v>3</v>
      </c>
      <c r="L42" s="26">
        <v>80</v>
      </c>
      <c r="M42" s="52">
        <v>4</v>
      </c>
      <c r="N42" s="26">
        <v>67</v>
      </c>
      <c r="O42" s="52">
        <v>11</v>
      </c>
      <c r="P42" s="28">
        <v>91</v>
      </c>
      <c r="Q42" s="62">
        <v>34</v>
      </c>
    </row>
    <row r="43" spans="1:17" ht="19.5" customHeight="1" thickBot="1" x14ac:dyDescent="0.2">
      <c r="A43" s="144"/>
      <c r="B43" s="105"/>
      <c r="C43" s="119"/>
      <c r="D43" s="100"/>
      <c r="E43" s="97"/>
      <c r="F43" s="100"/>
      <c r="G43" s="97"/>
      <c r="H43" s="19"/>
      <c r="I43" s="53">
        <f>I42/H42</f>
        <v>0.10655737704918032</v>
      </c>
      <c r="J43" s="47">
        <f>J42/H42</f>
        <v>0.79508196721311475</v>
      </c>
      <c r="K43" s="53">
        <f>K42/J42</f>
        <v>3.0927835051546393E-2</v>
      </c>
      <c r="L43" s="47">
        <f>L42/J42</f>
        <v>0.82474226804123707</v>
      </c>
      <c r="M43" s="53">
        <f>M42/L42</f>
        <v>0.05</v>
      </c>
      <c r="N43" s="47">
        <f>N42/L42</f>
        <v>0.83750000000000002</v>
      </c>
      <c r="O43" s="53">
        <f>O42/N42</f>
        <v>0.16417910447761194</v>
      </c>
      <c r="P43" s="47">
        <f>P42/N42</f>
        <v>1.3582089552238805</v>
      </c>
      <c r="Q43" s="63">
        <f>Q42/P42</f>
        <v>0.37362637362637363</v>
      </c>
    </row>
    <row r="44" spans="1:17" ht="19.5" customHeight="1" x14ac:dyDescent="0.15">
      <c r="A44" s="144"/>
      <c r="B44" s="104" t="s">
        <v>119</v>
      </c>
      <c r="C44" s="118" t="s">
        <v>21</v>
      </c>
      <c r="D44" s="6"/>
      <c r="E44" s="7"/>
      <c r="F44" s="6"/>
      <c r="G44" s="7"/>
      <c r="H44" s="26">
        <v>58</v>
      </c>
      <c r="I44" s="52">
        <v>11</v>
      </c>
      <c r="J44" s="26">
        <v>58</v>
      </c>
      <c r="K44" s="52">
        <v>6</v>
      </c>
      <c r="L44" s="26">
        <v>40</v>
      </c>
      <c r="M44" s="52">
        <v>7</v>
      </c>
      <c r="N44" s="26">
        <v>31</v>
      </c>
      <c r="O44" s="52">
        <v>7</v>
      </c>
      <c r="P44" s="28">
        <v>44</v>
      </c>
      <c r="Q44" s="62">
        <v>14</v>
      </c>
    </row>
    <row r="45" spans="1:17" ht="19.5" customHeight="1" thickBot="1" x14ac:dyDescent="0.2">
      <c r="A45" s="99"/>
      <c r="B45" s="105"/>
      <c r="C45" s="119"/>
      <c r="D45" s="100"/>
      <c r="E45" s="97"/>
      <c r="F45" s="100"/>
      <c r="G45" s="97"/>
      <c r="H45" s="19"/>
      <c r="I45" s="53">
        <f>I44/H44</f>
        <v>0.18965517241379309</v>
      </c>
      <c r="J45" s="47">
        <f>J44/H44</f>
        <v>1</v>
      </c>
      <c r="K45" s="53">
        <f>K44/J44</f>
        <v>0.10344827586206896</v>
      </c>
      <c r="L45" s="47">
        <f>L44/J44</f>
        <v>0.68965517241379315</v>
      </c>
      <c r="M45" s="53">
        <f>M44/L44</f>
        <v>0.17499999999999999</v>
      </c>
      <c r="N45" s="47">
        <f>N44/L44</f>
        <v>0.77500000000000002</v>
      </c>
      <c r="O45" s="53">
        <f>O44/N44</f>
        <v>0.22580645161290322</v>
      </c>
      <c r="P45" s="47">
        <f>P44/N44</f>
        <v>1.4193548387096775</v>
      </c>
      <c r="Q45" s="63">
        <f>Q44/P44</f>
        <v>0.31818181818181818</v>
      </c>
    </row>
    <row r="46" spans="1:17" ht="22.5" x14ac:dyDescent="0.15">
      <c r="A46" s="98" t="s">
        <v>152</v>
      </c>
      <c r="B46" s="104" t="s">
        <v>40</v>
      </c>
      <c r="C46" s="118" t="s">
        <v>21</v>
      </c>
      <c r="D46" s="6"/>
      <c r="E46" s="7"/>
      <c r="F46" s="6"/>
      <c r="G46" s="7"/>
      <c r="H46" s="26">
        <v>82</v>
      </c>
      <c r="I46" s="52">
        <v>30</v>
      </c>
      <c r="J46" s="26">
        <v>58</v>
      </c>
      <c r="K46" s="52">
        <v>21</v>
      </c>
      <c r="L46" s="26">
        <v>38</v>
      </c>
      <c r="M46" s="52">
        <v>13</v>
      </c>
      <c r="N46" s="6"/>
      <c r="O46" s="7"/>
      <c r="P46" s="6"/>
      <c r="Q46" s="7"/>
    </row>
    <row r="47" spans="1:17" ht="19.5" customHeight="1" thickBot="1" x14ac:dyDescent="0.2">
      <c r="A47" s="99"/>
      <c r="B47" s="105"/>
      <c r="C47" s="119"/>
      <c r="D47" s="100"/>
      <c r="E47" s="97"/>
      <c r="F47" s="100"/>
      <c r="G47" s="97"/>
      <c r="H47" s="19"/>
      <c r="I47" s="53">
        <f>I46/H46</f>
        <v>0.36585365853658536</v>
      </c>
      <c r="J47" s="47">
        <f>J46/H46</f>
        <v>0.70731707317073167</v>
      </c>
      <c r="K47" s="53">
        <f>K46/J46</f>
        <v>0.36206896551724138</v>
      </c>
      <c r="L47" s="47">
        <f>L46/J46</f>
        <v>0.65517241379310343</v>
      </c>
      <c r="M47" s="53">
        <f>M46/L46</f>
        <v>0.34210526315789475</v>
      </c>
      <c r="N47" s="100"/>
      <c r="O47" s="97"/>
      <c r="P47" s="100"/>
      <c r="Q47" s="97"/>
    </row>
    <row r="48" spans="1:17" ht="22.5" x14ac:dyDescent="0.15">
      <c r="A48" s="98" t="s">
        <v>12</v>
      </c>
      <c r="B48" s="104" t="s">
        <v>60</v>
      </c>
      <c r="C48" s="118" t="s">
        <v>21</v>
      </c>
      <c r="D48" s="26">
        <v>63</v>
      </c>
      <c r="E48" s="52">
        <v>37</v>
      </c>
      <c r="F48" s="6"/>
      <c r="G48" s="7"/>
      <c r="H48" s="26">
        <v>85</v>
      </c>
      <c r="I48" s="52">
        <v>36</v>
      </c>
      <c r="J48" s="35"/>
      <c r="K48" s="54"/>
      <c r="L48" s="26">
        <v>32</v>
      </c>
      <c r="M48" s="52">
        <v>12</v>
      </c>
      <c r="N48" s="26">
        <v>47</v>
      </c>
      <c r="O48" s="52">
        <v>25</v>
      </c>
      <c r="P48" s="28">
        <v>42</v>
      </c>
      <c r="Q48" s="62">
        <v>22</v>
      </c>
    </row>
    <row r="49" spans="1:17" ht="19.5" customHeight="1" thickBot="1" x14ac:dyDescent="0.2">
      <c r="A49" s="99"/>
      <c r="B49" s="105"/>
      <c r="C49" s="119"/>
      <c r="D49" s="19"/>
      <c r="E49" s="53">
        <f>E48/D48</f>
        <v>0.58730158730158732</v>
      </c>
      <c r="F49" s="100"/>
      <c r="G49" s="97"/>
      <c r="H49" s="47" t="e">
        <f>H48/F48</f>
        <v>#DIV/0!</v>
      </c>
      <c r="I49" s="53">
        <f>I48/H48</f>
        <v>0.42352941176470588</v>
      </c>
      <c r="J49" s="100"/>
      <c r="K49" s="97"/>
      <c r="L49" s="47">
        <f>L48/H48</f>
        <v>0.37647058823529411</v>
      </c>
      <c r="M49" s="53">
        <f>M48/L48</f>
        <v>0.375</v>
      </c>
      <c r="N49" s="47">
        <f>N48/L48</f>
        <v>1.46875</v>
      </c>
      <c r="O49" s="53">
        <f>O48/N48</f>
        <v>0.53191489361702127</v>
      </c>
      <c r="P49" s="47">
        <f>P48/N48</f>
        <v>0.8936170212765957</v>
      </c>
      <c r="Q49" s="63">
        <f>Q48/P48</f>
        <v>0.52380952380952384</v>
      </c>
    </row>
    <row r="50" spans="1:17" ht="22.5" x14ac:dyDescent="0.15">
      <c r="A50" s="98" t="s">
        <v>222</v>
      </c>
      <c r="B50" s="104" t="s">
        <v>75</v>
      </c>
      <c r="C50" s="118" t="s">
        <v>38</v>
      </c>
      <c r="D50" s="35"/>
      <c r="E50" s="54"/>
      <c r="F50" s="35"/>
      <c r="G50" s="54"/>
      <c r="H50" s="35"/>
      <c r="I50" s="54"/>
      <c r="J50" s="35"/>
      <c r="K50" s="54"/>
      <c r="L50" s="35"/>
      <c r="M50" s="54"/>
      <c r="N50" s="26">
        <v>14</v>
      </c>
      <c r="O50" s="52">
        <v>0</v>
      </c>
      <c r="P50" s="28">
        <v>22</v>
      </c>
      <c r="Q50" s="62">
        <v>4</v>
      </c>
    </row>
    <row r="51" spans="1:17" ht="19.5" customHeight="1" thickBot="1" x14ac:dyDescent="0.2">
      <c r="A51" s="144"/>
      <c r="B51" s="105"/>
      <c r="C51" s="119"/>
      <c r="D51" s="100"/>
      <c r="E51" s="97"/>
      <c r="F51" s="100"/>
      <c r="G51" s="97"/>
      <c r="H51" s="100"/>
      <c r="I51" s="97"/>
      <c r="J51" s="100"/>
      <c r="K51" s="97"/>
      <c r="L51" s="100"/>
      <c r="M51" s="97"/>
      <c r="N51" s="19"/>
      <c r="O51" s="53">
        <f>O50/N50</f>
        <v>0</v>
      </c>
      <c r="P51" s="47">
        <f>P50/N50</f>
        <v>1.5714285714285714</v>
      </c>
      <c r="Q51" s="63">
        <f>Q50/P50</f>
        <v>0.18181818181818182</v>
      </c>
    </row>
    <row r="52" spans="1:17" ht="22.5" x14ac:dyDescent="0.15">
      <c r="A52" s="144"/>
      <c r="B52" s="104" t="s">
        <v>223</v>
      </c>
      <c r="C52" s="118" t="s">
        <v>21</v>
      </c>
      <c r="D52" s="35"/>
      <c r="E52" s="54"/>
      <c r="F52" s="35"/>
      <c r="G52" s="54"/>
      <c r="H52" s="26">
        <v>42</v>
      </c>
      <c r="I52" s="52">
        <v>4</v>
      </c>
      <c r="J52" s="26">
        <v>47</v>
      </c>
      <c r="K52" s="52">
        <v>1</v>
      </c>
      <c r="L52" s="26">
        <v>31</v>
      </c>
      <c r="M52" s="52">
        <v>0</v>
      </c>
      <c r="N52" s="26">
        <v>18</v>
      </c>
      <c r="O52" s="52">
        <v>2</v>
      </c>
      <c r="P52" s="28">
        <v>26</v>
      </c>
      <c r="Q52" s="62">
        <v>5</v>
      </c>
    </row>
    <row r="53" spans="1:17" ht="19.5" customHeight="1" thickBot="1" x14ac:dyDescent="0.2">
      <c r="A53" s="99"/>
      <c r="B53" s="105"/>
      <c r="C53" s="119"/>
      <c r="D53" s="100"/>
      <c r="E53" s="97"/>
      <c r="F53" s="100"/>
      <c r="G53" s="97"/>
      <c r="H53" s="19"/>
      <c r="I53" s="53">
        <f>I52/H52</f>
        <v>9.5238095238095233E-2</v>
      </c>
      <c r="J53" s="47">
        <f>J52/H52</f>
        <v>1.1190476190476191</v>
      </c>
      <c r="K53" s="53">
        <f>K52/J52</f>
        <v>2.1276595744680851E-2</v>
      </c>
      <c r="L53" s="47">
        <f>L52/J52</f>
        <v>0.65957446808510634</v>
      </c>
      <c r="M53" s="63">
        <f>M52/L52</f>
        <v>0</v>
      </c>
      <c r="N53" s="47">
        <f>N52/L52</f>
        <v>0.58064516129032262</v>
      </c>
      <c r="O53" s="53">
        <f>O52/N52</f>
        <v>0.1111111111111111</v>
      </c>
      <c r="P53" s="47">
        <f>P52/N52</f>
        <v>1.4444444444444444</v>
      </c>
      <c r="Q53" s="63">
        <f>Q52/P52</f>
        <v>0.19230769230769232</v>
      </c>
    </row>
    <row r="58" spans="1:17" ht="19.5" customHeight="1" x14ac:dyDescent="0.15"/>
    <row r="64" spans="1:17" ht="19.5" customHeight="1" x14ac:dyDescent="0.15"/>
    <row r="74" ht="19.5" customHeight="1" x14ac:dyDescent="0.15"/>
    <row r="78" ht="19.5" customHeight="1" x14ac:dyDescent="0.15"/>
    <row r="82" ht="18.75" customHeight="1" x14ac:dyDescent="0.15"/>
    <row r="84" ht="18.75" customHeight="1" x14ac:dyDescent="0.15"/>
    <row r="86" ht="18.75" customHeight="1" x14ac:dyDescent="0.15"/>
    <row r="88" ht="19.5" customHeight="1" x14ac:dyDescent="0.15"/>
    <row r="90" ht="18.75" customHeight="1" x14ac:dyDescent="0.15"/>
    <row r="92" ht="18.75" customHeight="1" x14ac:dyDescent="0.15"/>
    <row r="94" ht="18.75" customHeight="1" x14ac:dyDescent="0.15"/>
    <row r="96" ht="18.75" customHeight="1" x14ac:dyDescent="0.15"/>
    <row r="98" ht="18.75" customHeight="1" x14ac:dyDescent="0.15"/>
    <row r="100" ht="18.75" customHeight="1" x14ac:dyDescent="0.15"/>
    <row r="102" ht="18.75" customHeight="1" x14ac:dyDescent="0.15"/>
    <row r="104" ht="18.75" customHeight="1" x14ac:dyDescent="0.15"/>
    <row r="106" ht="18.75" customHeight="1" x14ac:dyDescent="0.15"/>
    <row r="108" ht="18.75" customHeight="1" x14ac:dyDescent="0.15"/>
  </sheetData>
  <mergeCells count="107">
    <mergeCell ref="A38:A39"/>
    <mergeCell ref="B38:B39"/>
    <mergeCell ref="C38:C39"/>
    <mergeCell ref="L3:M3"/>
    <mergeCell ref="N3:O3"/>
    <mergeCell ref="A46:A47"/>
    <mergeCell ref="B46:B47"/>
    <mergeCell ref="C46:C47"/>
    <mergeCell ref="D47:E47"/>
    <mergeCell ref="F47:G47"/>
    <mergeCell ref="N47:O47"/>
    <mergeCell ref="A40:A45"/>
    <mergeCell ref="B40:B41"/>
    <mergeCell ref="C40:C41"/>
    <mergeCell ref="D41:E41"/>
    <mergeCell ref="F41:G41"/>
    <mergeCell ref="B42:B43"/>
    <mergeCell ref="C42:C43"/>
    <mergeCell ref="D43:E43"/>
    <mergeCell ref="F43:G43"/>
    <mergeCell ref="B8:B9"/>
    <mergeCell ref="C8:C9"/>
    <mergeCell ref="A6:A9"/>
    <mergeCell ref="B6:B7"/>
    <mergeCell ref="C6:C7"/>
    <mergeCell ref="D3:E3"/>
    <mergeCell ref="F3:G3"/>
    <mergeCell ref="H3:I3"/>
    <mergeCell ref="J3:K3"/>
    <mergeCell ref="D15:E15"/>
    <mergeCell ref="F15:G15"/>
    <mergeCell ref="B24:B25"/>
    <mergeCell ref="C24:C25"/>
    <mergeCell ref="D25:E25"/>
    <mergeCell ref="F25:G25"/>
    <mergeCell ref="B16:B17"/>
    <mergeCell ref="C16:C17"/>
    <mergeCell ref="D17:E17"/>
    <mergeCell ref="F17:G17"/>
    <mergeCell ref="D23:E23"/>
    <mergeCell ref="F23:G23"/>
    <mergeCell ref="B12:B13"/>
    <mergeCell ref="C12:C13"/>
    <mergeCell ref="D19:E19"/>
    <mergeCell ref="F19:G19"/>
    <mergeCell ref="B20:B21"/>
    <mergeCell ref="C20:C21"/>
    <mergeCell ref="D21:E21"/>
    <mergeCell ref="F21:G21"/>
    <mergeCell ref="B22:B23"/>
    <mergeCell ref="A14:A25"/>
    <mergeCell ref="B14:B15"/>
    <mergeCell ref="C14:C15"/>
    <mergeCell ref="A10:A13"/>
    <mergeCell ref="B10:B11"/>
    <mergeCell ref="C10:C11"/>
    <mergeCell ref="C22:C23"/>
    <mergeCell ref="B18:B19"/>
    <mergeCell ref="C18:C19"/>
    <mergeCell ref="L51:M51"/>
    <mergeCell ref="H51:I51"/>
    <mergeCell ref="P3:Q3"/>
    <mergeCell ref="B50:B51"/>
    <mergeCell ref="C50:C51"/>
    <mergeCell ref="F51:G51"/>
    <mergeCell ref="J51:K51"/>
    <mergeCell ref="P47:Q47"/>
    <mergeCell ref="B32:B33"/>
    <mergeCell ref="C32:C33"/>
    <mergeCell ref="D33:E33"/>
    <mergeCell ref="F33:G33"/>
    <mergeCell ref="B34:B35"/>
    <mergeCell ref="C34:C35"/>
    <mergeCell ref="D35:E35"/>
    <mergeCell ref="F35:G35"/>
    <mergeCell ref="J49:K49"/>
    <mergeCell ref="B30:B31"/>
    <mergeCell ref="C30:C31"/>
    <mergeCell ref="D31:E31"/>
    <mergeCell ref="F31:G31"/>
    <mergeCell ref="B44:B45"/>
    <mergeCell ref="C44:C45"/>
    <mergeCell ref="D45:E45"/>
    <mergeCell ref="F53:G53"/>
    <mergeCell ref="A50:A53"/>
    <mergeCell ref="B36:B37"/>
    <mergeCell ref="C36:C37"/>
    <mergeCell ref="A48:A49"/>
    <mergeCell ref="B48:B49"/>
    <mergeCell ref="C48:C49"/>
    <mergeCell ref="F49:G49"/>
    <mergeCell ref="A26:A37"/>
    <mergeCell ref="D51:E51"/>
    <mergeCell ref="D53:E53"/>
    <mergeCell ref="B52:B53"/>
    <mergeCell ref="C52:C53"/>
    <mergeCell ref="B28:B29"/>
    <mergeCell ref="F45:G45"/>
    <mergeCell ref="D37:E37"/>
    <mergeCell ref="F37:G37"/>
    <mergeCell ref="C28:C29"/>
    <mergeCell ref="D29:E29"/>
    <mergeCell ref="F29:G29"/>
    <mergeCell ref="B26:B27"/>
    <mergeCell ref="C26:C27"/>
    <mergeCell ref="D27:E27"/>
    <mergeCell ref="F27:G27"/>
  </mergeCells>
  <phoneticPr fontId="2"/>
  <conditionalFormatting sqref="L15 F7 F9 F11 F13 H7 J7 L7 N7 P7 P9 N9 L9 J9 H9 H11 J11 L11 N11 P11 P13 N13 L13 J13 H13 J15 N15 P15 P17 N17 L17 J17 J19 L19 N19 P19 P21 N21 L21 J21 J23 L23 N23 P23 P25 N25 L25 J25 J27 L27 N27 P27 P29 N29 L29 J29 J31 L31 N31 P31 P33 N33 L33 J33 J35 L35 N35 P35 P37 N37 L37 J37 P39 N39 L39 J39 H39 F39 P41 N41 L41 J41 P43 N43 L43 J43 P45 N45 L45 J45 L47 J47 H49 L49 N49 P49 P51 P53 N53 L53 J53">
    <cfRule type="cellIs" dxfId="13" priority="1" operator="lessThan">
      <formula>1</formula>
    </cfRule>
    <cfRule type="cellIs" dxfId="12" priority="2" operator="greaterThanOrEqual">
      <formula>1</formula>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B9C6-5B6E-4FA8-9824-F07803CD33F4}">
  <dimension ref="A2:Q86"/>
  <sheetViews>
    <sheetView showGridLines="0" zoomScale="80" zoomScaleNormal="80" workbookViewId="0">
      <selection activeCell="M47" sqref="L47:M47"/>
    </sheetView>
  </sheetViews>
  <sheetFormatPr defaultRowHeight="18.75" x14ac:dyDescent="0.15"/>
  <cols>
    <col min="1" max="1" width="24.375" style="1" bestFit="1" customWidth="1"/>
    <col min="2" max="2" width="29.125" style="2" customWidth="1"/>
    <col min="3" max="3" width="8.625" style="2" customWidth="1"/>
    <col min="4" max="4" width="7.5" style="1" bestFit="1" customWidth="1"/>
    <col min="5" max="5" width="7.625" style="1" bestFit="1" customWidth="1"/>
    <col min="6" max="6" width="9.625" style="1" bestFit="1" customWidth="1"/>
    <col min="7" max="7" width="7.625" style="1" bestFit="1" customWidth="1"/>
    <col min="8" max="8" width="8.375" style="1" bestFit="1" customWidth="1"/>
    <col min="9" max="9" width="7.625" style="1" bestFit="1" customWidth="1"/>
    <col min="10" max="10" width="9.625" style="1" bestFit="1" customWidth="1"/>
    <col min="11" max="11" width="8.75" style="1" bestFit="1" customWidth="1"/>
    <col min="12" max="12" width="9.625" style="1" bestFit="1" customWidth="1"/>
    <col min="13" max="13" width="7.625" style="1" bestFit="1" customWidth="1"/>
    <col min="14" max="14" width="9.625" style="1" bestFit="1" customWidth="1"/>
    <col min="15" max="15" width="8.75" style="1" bestFit="1" customWidth="1"/>
    <col min="16" max="16" width="9" style="1"/>
    <col min="17" max="17" width="9.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22.5" x14ac:dyDescent="0.15">
      <c r="A6" s="139" t="s">
        <v>1</v>
      </c>
      <c r="B6" s="141" t="s">
        <v>127</v>
      </c>
      <c r="C6" s="142" t="s">
        <v>14</v>
      </c>
      <c r="D6" s="25">
        <v>70</v>
      </c>
      <c r="E6" s="50">
        <v>0</v>
      </c>
      <c r="F6" s="25">
        <v>64</v>
      </c>
      <c r="G6" s="50">
        <v>0</v>
      </c>
      <c r="H6" s="25">
        <v>57</v>
      </c>
      <c r="I6" s="50">
        <v>0</v>
      </c>
      <c r="J6" s="25">
        <v>63</v>
      </c>
      <c r="K6" s="50">
        <v>0</v>
      </c>
      <c r="L6" s="25">
        <v>54</v>
      </c>
      <c r="M6" s="50">
        <v>0</v>
      </c>
      <c r="N6" s="25">
        <v>51</v>
      </c>
      <c r="O6" s="50">
        <v>0</v>
      </c>
      <c r="P6" s="30">
        <v>51</v>
      </c>
      <c r="Q6" s="60">
        <v>0</v>
      </c>
    </row>
    <row r="7" spans="1:17" ht="19.5" thickBot="1" x14ac:dyDescent="0.2">
      <c r="A7" s="131"/>
      <c r="B7" s="112"/>
      <c r="C7" s="143"/>
      <c r="D7" s="24"/>
      <c r="E7" s="51">
        <f>E6/D6</f>
        <v>0</v>
      </c>
      <c r="F7" s="16">
        <f>F6/D6</f>
        <v>0.91428571428571426</v>
      </c>
      <c r="G7" s="57">
        <f>G6/F6</f>
        <v>0</v>
      </c>
      <c r="H7" s="16">
        <f>H6/F6</f>
        <v>0.890625</v>
      </c>
      <c r="I7" s="57">
        <f>I6/H6</f>
        <v>0</v>
      </c>
      <c r="J7" s="16">
        <f>J6/H6</f>
        <v>1.1052631578947369</v>
      </c>
      <c r="K7" s="57">
        <f>K6/J6</f>
        <v>0</v>
      </c>
      <c r="L7" s="16">
        <f>L6/J6</f>
        <v>0.8571428571428571</v>
      </c>
      <c r="M7" s="57">
        <f>M6/L6</f>
        <v>0</v>
      </c>
      <c r="N7" s="16">
        <f>N6/L6</f>
        <v>0.94444444444444442</v>
      </c>
      <c r="O7" s="57">
        <f>O6/N6</f>
        <v>0</v>
      </c>
      <c r="P7" s="16">
        <f>P6/N6</f>
        <v>1</v>
      </c>
      <c r="Q7" s="57">
        <f>Q6/P6</f>
        <v>0</v>
      </c>
    </row>
    <row r="8" spans="1:17" ht="22.5" x14ac:dyDescent="0.15">
      <c r="A8" s="131"/>
      <c r="B8" s="156" t="s">
        <v>128</v>
      </c>
      <c r="C8" s="142" t="s">
        <v>21</v>
      </c>
      <c r="D8" s="25">
        <v>88</v>
      </c>
      <c r="E8" s="50">
        <v>16</v>
      </c>
      <c r="F8" s="25">
        <v>88</v>
      </c>
      <c r="G8" s="50">
        <v>14</v>
      </c>
      <c r="H8" s="25">
        <v>78</v>
      </c>
      <c r="I8" s="50">
        <v>5</v>
      </c>
      <c r="J8" s="25">
        <v>78</v>
      </c>
      <c r="K8" s="50">
        <v>5</v>
      </c>
      <c r="L8" s="25">
        <v>76</v>
      </c>
      <c r="M8" s="50">
        <v>4</v>
      </c>
      <c r="N8" s="25">
        <v>63</v>
      </c>
      <c r="O8" s="50">
        <v>16</v>
      </c>
      <c r="P8" s="31">
        <v>69</v>
      </c>
      <c r="Q8" s="61">
        <v>18</v>
      </c>
    </row>
    <row r="9" spans="1:17" ht="19.5" thickBot="1" x14ac:dyDescent="0.2">
      <c r="A9" s="131"/>
      <c r="B9" s="157"/>
      <c r="C9" s="143"/>
      <c r="D9" s="24"/>
      <c r="E9" s="51">
        <f>E8/D8</f>
        <v>0.18181818181818182</v>
      </c>
      <c r="F9" s="16">
        <f>F8/D8</f>
        <v>1</v>
      </c>
      <c r="G9" s="57">
        <f>G8/F8</f>
        <v>0.15909090909090909</v>
      </c>
      <c r="H9" s="16">
        <f>H8/F8</f>
        <v>0.88636363636363635</v>
      </c>
      <c r="I9" s="57">
        <f>I8/H8</f>
        <v>6.4102564102564097E-2</v>
      </c>
      <c r="J9" s="16">
        <f>J8/H8</f>
        <v>1</v>
      </c>
      <c r="K9" s="57">
        <f>K8/J8</f>
        <v>6.4102564102564097E-2</v>
      </c>
      <c r="L9" s="16">
        <f>L8/J8</f>
        <v>0.97435897435897434</v>
      </c>
      <c r="M9" s="57">
        <f>M8/L8</f>
        <v>5.2631578947368418E-2</v>
      </c>
      <c r="N9" s="16">
        <f>N8/L8</f>
        <v>0.82894736842105265</v>
      </c>
      <c r="O9" s="57">
        <f>O8/N8</f>
        <v>0.25396825396825395</v>
      </c>
      <c r="P9" s="16">
        <f>P8/N8</f>
        <v>1.0952380952380953</v>
      </c>
      <c r="Q9" s="57">
        <f>Q8/P8</f>
        <v>0.2608695652173913</v>
      </c>
    </row>
    <row r="10" spans="1:17" ht="18.75" customHeight="1" x14ac:dyDescent="0.15">
      <c r="A10" s="129" t="s">
        <v>129</v>
      </c>
      <c r="B10" s="106" t="s">
        <v>130</v>
      </c>
      <c r="C10" s="118" t="s">
        <v>14</v>
      </c>
      <c r="D10" s="6"/>
      <c r="E10" s="7"/>
      <c r="F10" s="6"/>
      <c r="G10" s="7"/>
      <c r="H10" s="26">
        <v>318</v>
      </c>
      <c r="I10" s="52">
        <v>5</v>
      </c>
      <c r="J10" s="26">
        <v>338</v>
      </c>
      <c r="K10" s="52">
        <v>3</v>
      </c>
      <c r="L10" s="26">
        <v>364</v>
      </c>
      <c r="M10" s="52">
        <v>2</v>
      </c>
      <c r="N10" s="27">
        <v>379</v>
      </c>
      <c r="O10" s="59">
        <v>6</v>
      </c>
      <c r="P10" s="28">
        <v>374</v>
      </c>
      <c r="Q10" s="62">
        <v>7</v>
      </c>
    </row>
    <row r="11" spans="1:17" ht="19.5" thickBot="1" x14ac:dyDescent="0.2">
      <c r="A11" s="123"/>
      <c r="B11" s="107"/>
      <c r="C11" s="119"/>
      <c r="D11" s="102"/>
      <c r="E11" s="103"/>
      <c r="F11" s="102"/>
      <c r="G11" s="103"/>
      <c r="H11" s="19"/>
      <c r="I11" s="53">
        <f>I10/H10</f>
        <v>1.5723270440251572E-2</v>
      </c>
      <c r="J11" s="47">
        <f>J10/H10</f>
        <v>1.0628930817610063</v>
      </c>
      <c r="K11" s="53">
        <f>K10/J10</f>
        <v>8.8757396449704144E-3</v>
      </c>
      <c r="L11" s="47">
        <f>L10/J10</f>
        <v>1.0769230769230769</v>
      </c>
      <c r="M11" s="53">
        <f>M10/L10</f>
        <v>5.4945054945054949E-3</v>
      </c>
      <c r="N11" s="47">
        <f>N10/L10</f>
        <v>1.0412087912087913</v>
      </c>
      <c r="O11" s="53">
        <f>O10/N10</f>
        <v>1.5831134564643801E-2</v>
      </c>
      <c r="P11" s="47">
        <f>P10/N10</f>
        <v>0.98680738786279687</v>
      </c>
      <c r="Q11" s="63">
        <f>Q10/P10</f>
        <v>1.871657754010695E-2</v>
      </c>
    </row>
    <row r="12" spans="1:17" ht="22.5" x14ac:dyDescent="0.15">
      <c r="A12" s="123"/>
      <c r="B12" s="106" t="s">
        <v>128</v>
      </c>
      <c r="C12" s="118" t="s">
        <v>21</v>
      </c>
      <c r="D12" s="6"/>
      <c r="E12" s="7"/>
      <c r="F12" s="6"/>
      <c r="G12" s="7"/>
      <c r="H12" s="26">
        <v>443</v>
      </c>
      <c r="I12" s="52">
        <v>60</v>
      </c>
      <c r="J12" s="26">
        <v>454</v>
      </c>
      <c r="K12" s="52">
        <v>51</v>
      </c>
      <c r="L12" s="26">
        <v>389</v>
      </c>
      <c r="M12" s="52">
        <v>25</v>
      </c>
      <c r="N12" s="27">
        <v>386</v>
      </c>
      <c r="O12" s="59">
        <v>46</v>
      </c>
      <c r="P12" s="28">
        <v>397</v>
      </c>
      <c r="Q12" s="62">
        <v>73</v>
      </c>
    </row>
    <row r="13" spans="1:17" ht="19.5" thickBot="1" x14ac:dyDescent="0.2">
      <c r="A13" s="123"/>
      <c r="B13" s="107"/>
      <c r="C13" s="119"/>
      <c r="D13" s="102"/>
      <c r="E13" s="103"/>
      <c r="F13" s="102"/>
      <c r="G13" s="103"/>
      <c r="H13" s="19"/>
      <c r="I13" s="53">
        <f>I12/H12</f>
        <v>0.13544018058690746</v>
      </c>
      <c r="J13" s="47">
        <f>J12/H12</f>
        <v>1.0248306997742664</v>
      </c>
      <c r="K13" s="53">
        <f>K12/J12</f>
        <v>0.11233480176211454</v>
      </c>
      <c r="L13" s="47">
        <f>L12/J12</f>
        <v>0.85682819383259912</v>
      </c>
      <c r="M13" s="53">
        <f>M12/L12</f>
        <v>6.4267352185089971E-2</v>
      </c>
      <c r="N13" s="47">
        <f>N12/L12</f>
        <v>0.99228791773778924</v>
      </c>
      <c r="O13" s="53">
        <f>O12/N12</f>
        <v>0.11917098445595854</v>
      </c>
      <c r="P13" s="47">
        <f>P12/N12</f>
        <v>1.028497409326425</v>
      </c>
      <c r="Q13" s="63">
        <f>Q12/P12</f>
        <v>0.18387909319899245</v>
      </c>
    </row>
    <row r="14" spans="1:17" ht="22.5" x14ac:dyDescent="0.15">
      <c r="A14" s="123"/>
      <c r="B14" s="106" t="s">
        <v>131</v>
      </c>
      <c r="C14" s="118" t="s">
        <v>38</v>
      </c>
      <c r="D14" s="6"/>
      <c r="E14" s="7"/>
      <c r="F14" s="6"/>
      <c r="G14" s="7"/>
      <c r="H14" s="26">
        <v>27</v>
      </c>
      <c r="I14" s="52">
        <v>26</v>
      </c>
      <c r="J14" s="26">
        <v>25</v>
      </c>
      <c r="K14" s="52">
        <v>25</v>
      </c>
      <c r="L14" s="26">
        <v>16</v>
      </c>
      <c r="M14" s="52">
        <v>15</v>
      </c>
      <c r="N14" s="27">
        <v>44</v>
      </c>
      <c r="O14" s="59">
        <v>44</v>
      </c>
      <c r="P14" s="28">
        <v>86</v>
      </c>
      <c r="Q14" s="62">
        <v>86</v>
      </c>
    </row>
    <row r="15" spans="1:17" ht="19.5" thickBot="1" x14ac:dyDescent="0.2">
      <c r="A15" s="123"/>
      <c r="B15" s="107"/>
      <c r="C15" s="119"/>
      <c r="D15" s="102"/>
      <c r="E15" s="103"/>
      <c r="F15" s="102"/>
      <c r="G15" s="103"/>
      <c r="H15" s="19"/>
      <c r="I15" s="53">
        <f>I14/H14</f>
        <v>0.96296296296296291</v>
      </c>
      <c r="J15" s="47">
        <f>J14/H14</f>
        <v>0.92592592592592593</v>
      </c>
      <c r="K15" s="53">
        <f>K14/J14</f>
        <v>1</v>
      </c>
      <c r="L15" s="47">
        <f>L14/J14</f>
        <v>0.64</v>
      </c>
      <c r="M15" s="53">
        <f>M14/L14</f>
        <v>0.9375</v>
      </c>
      <c r="N15" s="47">
        <f>N14/L14</f>
        <v>2.75</v>
      </c>
      <c r="O15" s="53">
        <f>O14/N14</f>
        <v>1</v>
      </c>
      <c r="P15" s="47">
        <f>P14/N14</f>
        <v>1.9545454545454546</v>
      </c>
      <c r="Q15" s="63">
        <f>Q14/P14</f>
        <v>1</v>
      </c>
    </row>
    <row r="16" spans="1:17" ht="18.75" customHeight="1" x14ac:dyDescent="0.15">
      <c r="A16" s="123"/>
      <c r="B16" s="106" t="s">
        <v>132</v>
      </c>
      <c r="C16" s="118" t="s">
        <v>21</v>
      </c>
      <c r="D16" s="6"/>
      <c r="E16" s="7"/>
      <c r="F16" s="6"/>
      <c r="G16" s="7"/>
      <c r="H16" s="26">
        <v>70</v>
      </c>
      <c r="I16" s="52">
        <v>8</v>
      </c>
      <c r="J16" s="26">
        <v>85</v>
      </c>
      <c r="K16" s="52">
        <v>13</v>
      </c>
      <c r="L16" s="26">
        <v>85</v>
      </c>
      <c r="M16" s="52">
        <v>12</v>
      </c>
      <c r="N16" s="27">
        <v>74</v>
      </c>
      <c r="O16" s="59">
        <v>5</v>
      </c>
      <c r="P16" s="28">
        <v>69</v>
      </c>
      <c r="Q16" s="62">
        <v>2</v>
      </c>
    </row>
    <row r="17" spans="1:17" ht="19.5" thickBot="1" x14ac:dyDescent="0.2">
      <c r="A17" s="123"/>
      <c r="B17" s="107"/>
      <c r="C17" s="119"/>
      <c r="D17" s="102"/>
      <c r="E17" s="103"/>
      <c r="F17" s="102"/>
      <c r="G17" s="103"/>
      <c r="H17" s="19"/>
      <c r="I17" s="53">
        <f>I16/H16</f>
        <v>0.11428571428571428</v>
      </c>
      <c r="J17" s="47">
        <f>J16/H16</f>
        <v>1.2142857142857142</v>
      </c>
      <c r="K17" s="53">
        <f>K16/J16</f>
        <v>0.15294117647058825</v>
      </c>
      <c r="L17" s="47">
        <f>L16/J16</f>
        <v>1</v>
      </c>
      <c r="M17" s="53">
        <f>M16/L16</f>
        <v>0.14117647058823529</v>
      </c>
      <c r="N17" s="47">
        <f>N16/L16</f>
        <v>0.87058823529411766</v>
      </c>
      <c r="O17" s="53">
        <f>O16/N16</f>
        <v>6.7567567567567571E-2</v>
      </c>
      <c r="P17" s="47">
        <f>P16/N16</f>
        <v>0.93243243243243246</v>
      </c>
      <c r="Q17" s="63">
        <f>Q16/P16</f>
        <v>2.8985507246376812E-2</v>
      </c>
    </row>
    <row r="18" spans="1:17" ht="18.75" customHeight="1" x14ac:dyDescent="0.15">
      <c r="A18" s="129" t="s">
        <v>133</v>
      </c>
      <c r="B18" s="104" t="s">
        <v>134</v>
      </c>
      <c r="C18" s="118" t="s">
        <v>21</v>
      </c>
      <c r="D18" s="6"/>
      <c r="E18" s="7"/>
      <c r="F18" s="6"/>
      <c r="G18" s="7"/>
      <c r="H18" s="26">
        <v>199</v>
      </c>
      <c r="I18" s="52">
        <v>91</v>
      </c>
      <c r="J18" s="26">
        <v>144</v>
      </c>
      <c r="K18" s="52">
        <v>58</v>
      </c>
      <c r="L18" s="26">
        <v>130</v>
      </c>
      <c r="M18" s="52">
        <v>54</v>
      </c>
      <c r="N18" s="26">
        <v>194</v>
      </c>
      <c r="O18" s="52">
        <v>102</v>
      </c>
      <c r="P18" s="28">
        <v>252</v>
      </c>
      <c r="Q18" s="62">
        <v>155</v>
      </c>
    </row>
    <row r="19" spans="1:17" ht="19.5" thickBot="1" x14ac:dyDescent="0.2">
      <c r="A19" s="123"/>
      <c r="B19" s="105"/>
      <c r="C19" s="135"/>
      <c r="D19" s="102"/>
      <c r="E19" s="103"/>
      <c r="F19" s="102"/>
      <c r="G19" s="103"/>
      <c r="H19" s="19"/>
      <c r="I19" s="53">
        <f>I18/H18</f>
        <v>0.457286432160804</v>
      </c>
      <c r="J19" s="47">
        <f>J18/H18</f>
        <v>0.72361809045226133</v>
      </c>
      <c r="K19" s="53">
        <f>K18/J18</f>
        <v>0.40277777777777779</v>
      </c>
      <c r="L19" s="47">
        <f>L18/J18</f>
        <v>0.90277777777777779</v>
      </c>
      <c r="M19" s="53">
        <f>M18/L18</f>
        <v>0.41538461538461541</v>
      </c>
      <c r="N19" s="47">
        <f>N18/L18</f>
        <v>1.4923076923076923</v>
      </c>
      <c r="O19" s="53">
        <f>O18/N18</f>
        <v>0.52577319587628868</v>
      </c>
      <c r="P19" s="47">
        <f>P18/N18</f>
        <v>1.2989690721649485</v>
      </c>
      <c r="Q19" s="63">
        <f>Q18/P18</f>
        <v>0.61507936507936511</v>
      </c>
    </row>
    <row r="20" spans="1:17" ht="22.5" x14ac:dyDescent="0.15">
      <c r="A20" s="123"/>
      <c r="B20" s="117" t="s">
        <v>135</v>
      </c>
      <c r="C20" s="118" t="s">
        <v>21</v>
      </c>
      <c r="D20" s="6"/>
      <c r="E20" s="7"/>
      <c r="F20" s="6"/>
      <c r="G20" s="7"/>
      <c r="H20" s="26">
        <v>144</v>
      </c>
      <c r="I20" s="59">
        <v>96</v>
      </c>
      <c r="J20" s="26">
        <v>131</v>
      </c>
      <c r="K20" s="52">
        <v>4</v>
      </c>
      <c r="L20" s="26">
        <v>149</v>
      </c>
      <c r="M20" s="52">
        <v>1</v>
      </c>
      <c r="N20" s="26">
        <v>170</v>
      </c>
      <c r="O20" s="52">
        <v>1</v>
      </c>
      <c r="P20" s="28">
        <v>191</v>
      </c>
      <c r="Q20" s="62">
        <v>0</v>
      </c>
    </row>
    <row r="21" spans="1:17" ht="19.5" thickBot="1" x14ac:dyDescent="0.2">
      <c r="A21" s="123"/>
      <c r="B21" s="105"/>
      <c r="C21" s="135"/>
      <c r="D21" s="102"/>
      <c r="E21" s="103"/>
      <c r="F21" s="102"/>
      <c r="G21" s="103"/>
      <c r="H21" s="19"/>
      <c r="I21" s="53">
        <f>I20/H20</f>
        <v>0.66666666666666663</v>
      </c>
      <c r="J21" s="47">
        <f>J20/H20</f>
        <v>0.90972222222222221</v>
      </c>
      <c r="K21" s="53">
        <f>K20/J20</f>
        <v>3.0534351145038167E-2</v>
      </c>
      <c r="L21" s="47">
        <f>L20/J20</f>
        <v>1.1374045801526718</v>
      </c>
      <c r="M21" s="53">
        <f>M20/L20</f>
        <v>6.7114093959731542E-3</v>
      </c>
      <c r="N21" s="47">
        <f>N20/L20</f>
        <v>1.1409395973154361</v>
      </c>
      <c r="O21" s="53">
        <f>O20/N20</f>
        <v>5.8823529411764705E-3</v>
      </c>
      <c r="P21" s="47">
        <f>P20/N20</f>
        <v>1.1235294117647059</v>
      </c>
      <c r="Q21" s="63">
        <f>Q20/P20</f>
        <v>0</v>
      </c>
    </row>
    <row r="22" spans="1:17" ht="22.5" x14ac:dyDescent="0.15">
      <c r="A22" s="123"/>
      <c r="B22" s="117" t="s">
        <v>136</v>
      </c>
      <c r="C22" s="118" t="s">
        <v>21</v>
      </c>
      <c r="D22" s="6"/>
      <c r="E22" s="7"/>
      <c r="F22" s="6"/>
      <c r="G22" s="7"/>
      <c r="H22" s="26">
        <v>126</v>
      </c>
      <c r="I22" s="52">
        <v>3</v>
      </c>
      <c r="J22" s="26">
        <v>131</v>
      </c>
      <c r="K22" s="52">
        <v>2</v>
      </c>
      <c r="L22" s="26">
        <v>131</v>
      </c>
      <c r="M22" s="52">
        <v>5</v>
      </c>
      <c r="N22" s="26">
        <v>102</v>
      </c>
      <c r="O22" s="52">
        <v>5</v>
      </c>
      <c r="P22" s="28">
        <v>112</v>
      </c>
      <c r="Q22" s="62">
        <v>1</v>
      </c>
    </row>
    <row r="23" spans="1:17" ht="19.5" thickBot="1" x14ac:dyDescent="0.2">
      <c r="A23" s="124"/>
      <c r="B23" s="105"/>
      <c r="C23" s="135"/>
      <c r="D23" s="102"/>
      <c r="E23" s="103"/>
      <c r="F23" s="102"/>
      <c r="G23" s="103"/>
      <c r="H23" s="19"/>
      <c r="I23" s="53">
        <f>I22/H22</f>
        <v>2.3809523809523808E-2</v>
      </c>
      <c r="J23" s="47">
        <f>J22/H22</f>
        <v>1.0396825396825398</v>
      </c>
      <c r="K23" s="53">
        <f>K22/J22</f>
        <v>1.5267175572519083E-2</v>
      </c>
      <c r="L23" s="47">
        <f>L22/J22</f>
        <v>1</v>
      </c>
      <c r="M23" s="53">
        <f>M22/L22</f>
        <v>3.8167938931297711E-2</v>
      </c>
      <c r="N23" s="47">
        <f>N22/L22</f>
        <v>0.77862595419847325</v>
      </c>
      <c r="O23" s="53">
        <f>O22/N22</f>
        <v>4.9019607843137254E-2</v>
      </c>
      <c r="P23" s="47">
        <f>P22/N22</f>
        <v>1.0980392156862746</v>
      </c>
      <c r="Q23" s="63">
        <f>Q22/P22</f>
        <v>8.9285714285714281E-3</v>
      </c>
    </row>
    <row r="24" spans="1:17" ht="22.5" x14ac:dyDescent="0.15">
      <c r="A24" s="98" t="s">
        <v>137</v>
      </c>
      <c r="B24" s="108" t="s">
        <v>138</v>
      </c>
      <c r="C24" s="118" t="s">
        <v>14</v>
      </c>
      <c r="D24" s="6"/>
      <c r="E24" s="7"/>
      <c r="F24" s="6"/>
      <c r="G24" s="7"/>
      <c r="H24" s="26">
        <v>152</v>
      </c>
      <c r="I24" s="52">
        <v>43</v>
      </c>
      <c r="J24" s="26">
        <v>149</v>
      </c>
      <c r="K24" s="52">
        <v>38</v>
      </c>
      <c r="L24" s="26">
        <v>147</v>
      </c>
      <c r="M24" s="52">
        <v>25</v>
      </c>
      <c r="N24" s="26">
        <v>143</v>
      </c>
      <c r="O24" s="52">
        <v>19</v>
      </c>
      <c r="P24" s="28">
        <v>138</v>
      </c>
      <c r="Q24" s="62">
        <v>23</v>
      </c>
    </row>
    <row r="25" spans="1:17" ht="19.5" thickBot="1" x14ac:dyDescent="0.2">
      <c r="A25" s="144"/>
      <c r="B25" s="107"/>
      <c r="C25" s="119"/>
      <c r="D25" s="102"/>
      <c r="E25" s="103"/>
      <c r="F25" s="102"/>
      <c r="G25" s="103"/>
      <c r="H25" s="19"/>
      <c r="I25" s="53">
        <f>I24/H24</f>
        <v>0.28289473684210525</v>
      </c>
      <c r="J25" s="47">
        <f>J24/H24</f>
        <v>0.98026315789473684</v>
      </c>
      <c r="K25" s="53">
        <f>K24/J24</f>
        <v>0.25503355704697989</v>
      </c>
      <c r="L25" s="47">
        <f>L24/J24</f>
        <v>0.98657718120805371</v>
      </c>
      <c r="M25" s="53">
        <f>M24/L24</f>
        <v>0.17006802721088435</v>
      </c>
      <c r="N25" s="47">
        <f>N24/L24</f>
        <v>0.97278911564625847</v>
      </c>
      <c r="O25" s="53">
        <f>O24/N24</f>
        <v>0.13286713286713286</v>
      </c>
      <c r="P25" s="47">
        <f>P24/N24</f>
        <v>0.965034965034965</v>
      </c>
      <c r="Q25" s="63">
        <f>Q24/P24</f>
        <v>0.16666666666666666</v>
      </c>
    </row>
    <row r="26" spans="1:17" ht="22.5" x14ac:dyDescent="0.15">
      <c r="A26" s="144"/>
      <c r="B26" s="108" t="s">
        <v>128</v>
      </c>
      <c r="C26" s="118" t="s">
        <v>21</v>
      </c>
      <c r="D26" s="6"/>
      <c r="E26" s="7"/>
      <c r="F26" s="6"/>
      <c r="G26" s="7"/>
      <c r="H26" s="26">
        <v>139</v>
      </c>
      <c r="I26" s="52">
        <v>93</v>
      </c>
      <c r="J26" s="26">
        <v>98</v>
      </c>
      <c r="K26" s="52">
        <v>56</v>
      </c>
      <c r="L26" s="26">
        <v>53</v>
      </c>
      <c r="M26" s="52">
        <v>24</v>
      </c>
      <c r="N26" s="26">
        <v>116</v>
      </c>
      <c r="O26" s="52">
        <v>93</v>
      </c>
      <c r="P26" s="28">
        <v>196</v>
      </c>
      <c r="Q26" s="62">
        <v>162</v>
      </c>
    </row>
    <row r="27" spans="1:17" ht="19.5" thickBot="1" x14ac:dyDescent="0.2">
      <c r="A27" s="99"/>
      <c r="B27" s="107"/>
      <c r="C27" s="119"/>
      <c r="D27" s="102"/>
      <c r="E27" s="103"/>
      <c r="F27" s="102"/>
      <c r="G27" s="103"/>
      <c r="H27" s="19"/>
      <c r="I27" s="53">
        <f>I26/H26</f>
        <v>0.6690647482014388</v>
      </c>
      <c r="J27" s="47">
        <f>J26/H26</f>
        <v>0.70503597122302153</v>
      </c>
      <c r="K27" s="53">
        <f>K26/J26</f>
        <v>0.5714285714285714</v>
      </c>
      <c r="L27" s="47">
        <f>L26/J26</f>
        <v>0.54081632653061229</v>
      </c>
      <c r="M27" s="53">
        <f>M26/L26</f>
        <v>0.45283018867924529</v>
      </c>
      <c r="N27" s="47">
        <f>N26/L26</f>
        <v>2.1886792452830188</v>
      </c>
      <c r="O27" s="53">
        <f>O26/N26</f>
        <v>0.80172413793103448</v>
      </c>
      <c r="P27" s="47">
        <f>P26/N26</f>
        <v>1.6896551724137931</v>
      </c>
      <c r="Q27" s="63">
        <f>Q26/P26</f>
        <v>0.82653061224489799</v>
      </c>
    </row>
    <row r="28" spans="1:17" ht="22.5" x14ac:dyDescent="0.15">
      <c r="A28" s="104" t="s">
        <v>139</v>
      </c>
      <c r="B28" s="108" t="s">
        <v>140</v>
      </c>
      <c r="C28" s="118" t="s">
        <v>14</v>
      </c>
      <c r="D28" s="6"/>
      <c r="E28" s="7"/>
      <c r="F28" s="6"/>
      <c r="G28" s="7"/>
      <c r="H28" s="26">
        <v>98</v>
      </c>
      <c r="I28" s="52">
        <v>13</v>
      </c>
      <c r="J28" s="35"/>
      <c r="K28" s="54"/>
      <c r="L28" s="26">
        <v>116</v>
      </c>
      <c r="M28" s="52">
        <v>15</v>
      </c>
      <c r="N28" s="26">
        <v>98</v>
      </c>
      <c r="O28" s="52">
        <v>16</v>
      </c>
      <c r="P28" s="28">
        <v>97</v>
      </c>
      <c r="Q28" s="62">
        <v>11</v>
      </c>
    </row>
    <row r="29" spans="1:17" ht="19.5" thickBot="1" x14ac:dyDescent="0.2">
      <c r="A29" s="144"/>
      <c r="B29" s="107"/>
      <c r="C29" s="119"/>
      <c r="D29" s="102"/>
      <c r="E29" s="103"/>
      <c r="F29" s="102"/>
      <c r="G29" s="103"/>
      <c r="H29" s="19"/>
      <c r="I29" s="53">
        <f>I28/H28</f>
        <v>0.1326530612244898</v>
      </c>
      <c r="J29" s="102"/>
      <c r="K29" s="103"/>
      <c r="L29" s="47">
        <f>L28/H28</f>
        <v>1.1836734693877551</v>
      </c>
      <c r="M29" s="53">
        <f>M28/L28</f>
        <v>0.12931034482758622</v>
      </c>
      <c r="N29" s="47">
        <f>N28/L28</f>
        <v>0.84482758620689657</v>
      </c>
      <c r="O29" s="53">
        <f>O28/N28</f>
        <v>0.16326530612244897</v>
      </c>
      <c r="P29" s="47">
        <f>P28/N28</f>
        <v>0.98979591836734693</v>
      </c>
      <c r="Q29" s="63">
        <f>Q28/P28</f>
        <v>0.1134020618556701</v>
      </c>
    </row>
    <row r="30" spans="1:17" ht="22.5" x14ac:dyDescent="0.15">
      <c r="A30" s="144"/>
      <c r="B30" s="108" t="s">
        <v>128</v>
      </c>
      <c r="C30" s="118" t="s">
        <v>21</v>
      </c>
      <c r="D30" s="6"/>
      <c r="E30" s="7"/>
      <c r="F30" s="6"/>
      <c r="G30" s="7"/>
      <c r="H30" s="26">
        <v>107</v>
      </c>
      <c r="I30" s="52">
        <v>35</v>
      </c>
      <c r="J30" s="35"/>
      <c r="K30" s="54"/>
      <c r="L30" s="26">
        <v>79</v>
      </c>
      <c r="M30" s="52">
        <v>3</v>
      </c>
      <c r="N30" s="26">
        <v>100</v>
      </c>
      <c r="O30" s="52">
        <v>52</v>
      </c>
      <c r="P30" s="28">
        <v>146</v>
      </c>
      <c r="Q30" s="62">
        <v>91</v>
      </c>
    </row>
    <row r="31" spans="1:17" ht="19.5" thickBot="1" x14ac:dyDescent="0.2">
      <c r="A31" s="99"/>
      <c r="B31" s="107"/>
      <c r="C31" s="119"/>
      <c r="D31" s="102"/>
      <c r="E31" s="103"/>
      <c r="F31" s="102"/>
      <c r="G31" s="103"/>
      <c r="H31" s="19"/>
      <c r="I31" s="53">
        <f>I30/H30</f>
        <v>0.32710280373831774</v>
      </c>
      <c r="J31" s="102"/>
      <c r="K31" s="103"/>
      <c r="L31" s="47">
        <f>L30/H30</f>
        <v>0.73831775700934577</v>
      </c>
      <c r="M31" s="53">
        <f>M30/L30</f>
        <v>3.7974683544303799E-2</v>
      </c>
      <c r="N31" s="47">
        <f>N30/L30</f>
        <v>1.2658227848101267</v>
      </c>
      <c r="O31" s="53">
        <f>O30/N30</f>
        <v>0.52</v>
      </c>
      <c r="P31" s="47">
        <f>P30/N30</f>
        <v>1.46</v>
      </c>
      <c r="Q31" s="63">
        <f>Q30/P30</f>
        <v>0.62328767123287676</v>
      </c>
    </row>
    <row r="32" spans="1:17" ht="18.75" customHeight="1" x14ac:dyDescent="0.15">
      <c r="A32" s="120" t="s">
        <v>141</v>
      </c>
      <c r="B32" s="108" t="s">
        <v>138</v>
      </c>
      <c r="C32" s="118" t="s">
        <v>14</v>
      </c>
      <c r="D32" s="6"/>
      <c r="E32" s="7"/>
      <c r="F32" s="6"/>
      <c r="G32" s="7"/>
      <c r="H32" s="26">
        <v>45</v>
      </c>
      <c r="I32" s="52">
        <v>0</v>
      </c>
      <c r="J32" s="26">
        <v>40</v>
      </c>
      <c r="K32" s="52">
        <v>0</v>
      </c>
      <c r="L32" s="26">
        <v>46</v>
      </c>
      <c r="M32" s="52">
        <v>0</v>
      </c>
      <c r="N32" s="26">
        <v>48</v>
      </c>
      <c r="O32" s="52">
        <v>5</v>
      </c>
      <c r="P32" s="28">
        <v>56</v>
      </c>
      <c r="Q32" s="62">
        <v>7</v>
      </c>
    </row>
    <row r="33" spans="1:17" ht="19.5" thickBot="1" x14ac:dyDescent="0.2">
      <c r="A33" s="123"/>
      <c r="B33" s="107"/>
      <c r="C33" s="119"/>
      <c r="D33" s="102"/>
      <c r="E33" s="103"/>
      <c r="F33" s="102"/>
      <c r="G33" s="103"/>
      <c r="H33" s="19"/>
      <c r="I33" s="53">
        <f>I32/H32</f>
        <v>0</v>
      </c>
      <c r="J33" s="47">
        <f>J32/H32</f>
        <v>0.88888888888888884</v>
      </c>
      <c r="K33" s="53">
        <f>K32/J32</f>
        <v>0</v>
      </c>
      <c r="L33" s="47">
        <f>L32/J32</f>
        <v>1.1499999999999999</v>
      </c>
      <c r="M33" s="53">
        <f>M32/L32</f>
        <v>0</v>
      </c>
      <c r="N33" s="47">
        <f>N32/L32</f>
        <v>1.0434782608695652</v>
      </c>
      <c r="O33" s="53">
        <f>O32/N32</f>
        <v>0.10416666666666667</v>
      </c>
      <c r="P33" s="47">
        <f>P32/N32</f>
        <v>1.1666666666666667</v>
      </c>
      <c r="Q33" s="63">
        <f>Q32/P32</f>
        <v>0.125</v>
      </c>
    </row>
    <row r="34" spans="1:17" ht="18.75" customHeight="1" x14ac:dyDescent="0.15">
      <c r="A34" s="123"/>
      <c r="B34" s="108" t="s">
        <v>128</v>
      </c>
      <c r="C34" s="118" t="s">
        <v>21</v>
      </c>
      <c r="D34" s="6"/>
      <c r="E34" s="7"/>
      <c r="F34" s="6"/>
      <c r="G34" s="7"/>
      <c r="H34" s="26">
        <v>78</v>
      </c>
      <c r="I34" s="52">
        <v>23</v>
      </c>
      <c r="J34" s="26">
        <v>79</v>
      </c>
      <c r="K34" s="52">
        <v>17</v>
      </c>
      <c r="L34" s="26">
        <v>80</v>
      </c>
      <c r="M34" s="52">
        <v>10</v>
      </c>
      <c r="N34" s="26">
        <v>78</v>
      </c>
      <c r="O34" s="52">
        <v>23</v>
      </c>
      <c r="P34" s="28">
        <v>110</v>
      </c>
      <c r="Q34" s="62">
        <v>54</v>
      </c>
    </row>
    <row r="35" spans="1:17" ht="19.5" thickBot="1" x14ac:dyDescent="0.2">
      <c r="A35" s="124"/>
      <c r="B35" s="107"/>
      <c r="C35" s="119"/>
      <c r="D35" s="102"/>
      <c r="E35" s="103"/>
      <c r="F35" s="102"/>
      <c r="G35" s="103"/>
      <c r="H35" s="19"/>
      <c r="I35" s="53">
        <f>I34/H34</f>
        <v>0.29487179487179488</v>
      </c>
      <c r="J35" s="47">
        <f>J34/H34</f>
        <v>1.0128205128205128</v>
      </c>
      <c r="K35" s="53">
        <f>K34/J34</f>
        <v>0.21518987341772153</v>
      </c>
      <c r="L35" s="47">
        <f>L34/J34</f>
        <v>1.0126582278481013</v>
      </c>
      <c r="M35" s="53">
        <f>M34/L34</f>
        <v>0.125</v>
      </c>
      <c r="N35" s="47">
        <f>N34/L34</f>
        <v>0.97499999999999998</v>
      </c>
      <c r="O35" s="53">
        <f>O34/N34</f>
        <v>0.29487179487179488</v>
      </c>
      <c r="P35" s="47">
        <f>P34/N34</f>
        <v>1.4102564102564104</v>
      </c>
      <c r="Q35" s="63">
        <f>Q34/P34</f>
        <v>0.49090909090909091</v>
      </c>
    </row>
    <row r="36" spans="1:17" ht="18.75" customHeight="1" x14ac:dyDescent="0.15">
      <c r="A36" s="120" t="s">
        <v>142</v>
      </c>
      <c r="B36" s="108" t="s">
        <v>143</v>
      </c>
      <c r="C36" s="118" t="s">
        <v>14</v>
      </c>
      <c r="D36" s="6"/>
      <c r="E36" s="7"/>
      <c r="F36" s="6"/>
      <c r="G36" s="7"/>
      <c r="H36" s="26">
        <v>70</v>
      </c>
      <c r="I36" s="52">
        <v>9</v>
      </c>
      <c r="J36" s="26">
        <v>67</v>
      </c>
      <c r="K36" s="52">
        <v>11</v>
      </c>
      <c r="L36" s="35"/>
      <c r="M36" s="54"/>
      <c r="N36" s="35"/>
      <c r="O36" s="54"/>
      <c r="P36" s="35"/>
      <c r="Q36" s="54"/>
    </row>
    <row r="37" spans="1:17" ht="19.5" thickBot="1" x14ac:dyDescent="0.2">
      <c r="A37" s="123"/>
      <c r="B37" s="107"/>
      <c r="C37" s="119"/>
      <c r="D37" s="102"/>
      <c r="E37" s="103"/>
      <c r="F37" s="102"/>
      <c r="G37" s="103"/>
      <c r="H37" s="19"/>
      <c r="I37" s="53">
        <f>I36/H36</f>
        <v>0.12857142857142856</v>
      </c>
      <c r="J37" s="47">
        <f>J36/H36</f>
        <v>0.95714285714285718</v>
      </c>
      <c r="K37" s="53">
        <f>K36/J36</f>
        <v>0.16417910447761194</v>
      </c>
      <c r="L37" s="102"/>
      <c r="M37" s="103"/>
      <c r="N37" s="102"/>
      <c r="O37" s="103"/>
      <c r="P37" s="102"/>
      <c r="Q37" s="103"/>
    </row>
    <row r="38" spans="1:17" ht="18.75" customHeight="1" x14ac:dyDescent="0.15">
      <c r="A38" s="123"/>
      <c r="B38" s="108" t="s">
        <v>144</v>
      </c>
      <c r="C38" s="118" t="s">
        <v>21</v>
      </c>
      <c r="D38" s="6"/>
      <c r="E38" s="7"/>
      <c r="F38" s="6"/>
      <c r="G38" s="7"/>
      <c r="H38" s="26">
        <v>220</v>
      </c>
      <c r="I38" s="52">
        <v>165</v>
      </c>
      <c r="J38" s="26">
        <v>174</v>
      </c>
      <c r="K38" s="52">
        <v>132</v>
      </c>
      <c r="L38" s="35"/>
      <c r="M38" s="54"/>
      <c r="N38" s="35"/>
      <c r="O38" s="54"/>
      <c r="P38" s="35"/>
      <c r="Q38" s="54"/>
    </row>
    <row r="39" spans="1:17" ht="19.5" thickBot="1" x14ac:dyDescent="0.2">
      <c r="A39" s="124"/>
      <c r="B39" s="107"/>
      <c r="C39" s="119"/>
      <c r="D39" s="102"/>
      <c r="E39" s="103"/>
      <c r="F39" s="102"/>
      <c r="G39" s="103"/>
      <c r="H39" s="19"/>
      <c r="I39" s="53">
        <f>I38/H38</f>
        <v>0.75</v>
      </c>
      <c r="J39" s="47">
        <f>J38/H38</f>
        <v>0.79090909090909089</v>
      </c>
      <c r="K39" s="53">
        <f>K38/J38</f>
        <v>0.75862068965517238</v>
      </c>
      <c r="L39" s="102"/>
      <c r="M39" s="103"/>
      <c r="N39" s="102"/>
      <c r="O39" s="103"/>
      <c r="P39" s="102"/>
      <c r="Q39" s="103"/>
    </row>
    <row r="42" spans="1:17" ht="19.5" customHeight="1" x14ac:dyDescent="0.15"/>
    <row r="52" ht="19.5" customHeight="1" x14ac:dyDescent="0.15"/>
    <row r="56" ht="19.5" customHeight="1" x14ac:dyDescent="0.15"/>
    <row r="66" ht="19.5" customHeight="1" x14ac:dyDescent="0.15"/>
    <row r="70" ht="18.75" customHeight="1" x14ac:dyDescent="0.15"/>
    <row r="72" ht="18.75" customHeight="1" x14ac:dyDescent="0.15"/>
    <row r="74" ht="18.75" customHeight="1" x14ac:dyDescent="0.15"/>
    <row r="78" ht="18.75" customHeight="1" x14ac:dyDescent="0.15"/>
    <row r="80" ht="18.75" customHeight="1" x14ac:dyDescent="0.15"/>
    <row r="82" ht="18.75" customHeight="1" x14ac:dyDescent="0.15"/>
    <row r="84" ht="18.75" customHeight="1" x14ac:dyDescent="0.15"/>
    <row r="86" ht="18.75" customHeight="1" x14ac:dyDescent="0.15"/>
  </sheetData>
  <mergeCells count="86">
    <mergeCell ref="F29:G29"/>
    <mergeCell ref="D31:E31"/>
    <mergeCell ref="F31:G31"/>
    <mergeCell ref="D39:E39"/>
    <mergeCell ref="F39:G39"/>
    <mergeCell ref="L39:M39"/>
    <mergeCell ref="A18:A23"/>
    <mergeCell ref="D19:E19"/>
    <mergeCell ref="F19:G19"/>
    <mergeCell ref="B32:B33"/>
    <mergeCell ref="C32:C33"/>
    <mergeCell ref="D33:E33"/>
    <mergeCell ref="F33:G33"/>
    <mergeCell ref="A32:A35"/>
    <mergeCell ref="B34:B35"/>
    <mergeCell ref="C34:C35"/>
    <mergeCell ref="D35:E35"/>
    <mergeCell ref="F35:G35"/>
    <mergeCell ref="D29:E29"/>
    <mergeCell ref="A36:A39"/>
    <mergeCell ref="B36:B37"/>
    <mergeCell ref="A28:A31"/>
    <mergeCell ref="B28:B29"/>
    <mergeCell ref="C28:C29"/>
    <mergeCell ref="B30:B31"/>
    <mergeCell ref="C30:C31"/>
    <mergeCell ref="B38:B39"/>
    <mergeCell ref="C38:C39"/>
    <mergeCell ref="B22:B23"/>
    <mergeCell ref="C22:C23"/>
    <mergeCell ref="D23:E23"/>
    <mergeCell ref="C36:C37"/>
    <mergeCell ref="F23:G23"/>
    <mergeCell ref="B14:B15"/>
    <mergeCell ref="C14:C15"/>
    <mergeCell ref="D15:E15"/>
    <mergeCell ref="F15:G15"/>
    <mergeCell ref="B18:B19"/>
    <mergeCell ref="C18:C19"/>
    <mergeCell ref="B20:B21"/>
    <mergeCell ref="C20:C21"/>
    <mergeCell ref="D21:E21"/>
    <mergeCell ref="F21:G21"/>
    <mergeCell ref="A24:A27"/>
    <mergeCell ref="B24:B25"/>
    <mergeCell ref="C24:C25"/>
    <mergeCell ref="D25:E25"/>
    <mergeCell ref="F25:G25"/>
    <mergeCell ref="F27:G27"/>
    <mergeCell ref="B26:B27"/>
    <mergeCell ref="C26:C27"/>
    <mergeCell ref="D27:E27"/>
    <mergeCell ref="A10:A17"/>
    <mergeCell ref="B10:B11"/>
    <mergeCell ref="C10:C11"/>
    <mergeCell ref="D11:E11"/>
    <mergeCell ref="F11:G11"/>
    <mergeCell ref="B12:B13"/>
    <mergeCell ref="C12:C13"/>
    <mergeCell ref="D13:E13"/>
    <mergeCell ref="F13:G13"/>
    <mergeCell ref="B16:B17"/>
    <mergeCell ref="C16:C17"/>
    <mergeCell ref="D17:E17"/>
    <mergeCell ref="F17:G17"/>
    <mergeCell ref="A6:A9"/>
    <mergeCell ref="B6:B7"/>
    <mergeCell ref="C6:C7"/>
    <mergeCell ref="B8:B9"/>
    <mergeCell ref="C8:C9"/>
    <mergeCell ref="P3:Q3"/>
    <mergeCell ref="P37:Q37"/>
    <mergeCell ref="P39:Q39"/>
    <mergeCell ref="D3:E3"/>
    <mergeCell ref="F3:G3"/>
    <mergeCell ref="H3:I3"/>
    <mergeCell ref="J3:K3"/>
    <mergeCell ref="L3:M3"/>
    <mergeCell ref="N3:O3"/>
    <mergeCell ref="J29:K29"/>
    <mergeCell ref="J31:K31"/>
    <mergeCell ref="D37:E37"/>
    <mergeCell ref="F37:G37"/>
    <mergeCell ref="N39:O39"/>
    <mergeCell ref="L37:M37"/>
    <mergeCell ref="N37:O37"/>
  </mergeCells>
  <phoneticPr fontId="2"/>
  <conditionalFormatting sqref="J39 J37 P35 N35 L35 J35 J33 L33 N33 P33 L31 N31 P31 P29 N29 L29 P27 N27 L27 J27 J25 L25 N25 P25 P23 N23 L23 J23 J21 L21 N21 P21 P19 N19 L19 J19 J17 L17 N17 P17 P15 N15 L15 J15 J13 L13 N13 P13 P11 N11 L11 J11 H9 J9 L9 N9 P9 P7 N7 L7 J7 H7 F9 F7">
    <cfRule type="cellIs" dxfId="11" priority="1" operator="lessThan">
      <formula>1</formula>
    </cfRule>
    <cfRule type="cellIs" dxfId="10" priority="2" operator="greaterThanOrEqual">
      <formula>1</formula>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D5D7-811B-4119-ADCB-0D0D2ECCBD33}">
  <dimension ref="A2:Q96"/>
  <sheetViews>
    <sheetView showGridLines="0" topLeftCell="A13" zoomScale="80" zoomScaleNormal="80" workbookViewId="0">
      <selection activeCell="D32" sqref="A32:XFD33"/>
    </sheetView>
  </sheetViews>
  <sheetFormatPr defaultRowHeight="18.75" x14ac:dyDescent="0.15"/>
  <cols>
    <col min="1" max="1" width="24.375" style="1" bestFit="1" customWidth="1"/>
    <col min="2" max="2" width="29.125" style="2" customWidth="1"/>
    <col min="3" max="3" width="8.625" style="2" customWidth="1"/>
    <col min="4" max="4" width="7.5" style="1" bestFit="1" customWidth="1"/>
    <col min="5" max="5" width="7.625" style="1" bestFit="1" customWidth="1"/>
    <col min="6" max="6" width="9.625" style="1" bestFit="1" customWidth="1"/>
    <col min="7" max="7" width="7.625" style="1" bestFit="1" customWidth="1"/>
    <col min="8" max="8" width="9.625" style="1" bestFit="1" customWidth="1"/>
    <col min="9" max="9" width="7.625" style="1" bestFit="1" customWidth="1"/>
    <col min="10" max="10" width="9.625" style="1" bestFit="1" customWidth="1"/>
    <col min="11" max="11" width="7.625" style="1" bestFit="1" customWidth="1"/>
    <col min="12" max="12" width="9.625" style="1" bestFit="1" customWidth="1"/>
    <col min="13" max="13" width="7.625" style="1" bestFit="1" customWidth="1"/>
    <col min="14" max="14" width="9.625" style="1" bestFit="1" customWidth="1"/>
    <col min="15" max="15" width="7.625" style="1" bestFit="1" customWidth="1"/>
    <col min="16" max="16" width="9" style="1"/>
    <col min="17" max="17" width="7.62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22.5" x14ac:dyDescent="0.15">
      <c r="A6" s="139" t="s">
        <v>0</v>
      </c>
      <c r="B6" s="141" t="s">
        <v>111</v>
      </c>
      <c r="C6" s="142" t="s">
        <v>21</v>
      </c>
      <c r="D6" s="25">
        <v>226</v>
      </c>
      <c r="E6" s="50">
        <v>17</v>
      </c>
      <c r="F6" s="25">
        <v>241</v>
      </c>
      <c r="G6" s="50">
        <v>11</v>
      </c>
      <c r="H6" s="25">
        <v>224</v>
      </c>
      <c r="I6" s="50">
        <v>17</v>
      </c>
      <c r="J6" s="25">
        <v>187</v>
      </c>
      <c r="K6" s="50">
        <v>14</v>
      </c>
      <c r="L6" s="25">
        <v>169</v>
      </c>
      <c r="M6" s="50">
        <v>8</v>
      </c>
      <c r="N6" s="25">
        <v>149</v>
      </c>
      <c r="O6" s="50">
        <v>11</v>
      </c>
      <c r="P6" s="30">
        <v>158</v>
      </c>
      <c r="Q6" s="60">
        <v>16</v>
      </c>
    </row>
    <row r="7" spans="1:17" ht="19.5" thickBot="1" x14ac:dyDescent="0.2">
      <c r="A7" s="131"/>
      <c r="B7" s="112"/>
      <c r="C7" s="143"/>
      <c r="D7" s="24"/>
      <c r="E7" s="51">
        <f>E6/D6</f>
        <v>7.5221238938053103E-2</v>
      </c>
      <c r="F7" s="16">
        <f>F6/D6</f>
        <v>1.0663716814159292</v>
      </c>
      <c r="G7" s="57">
        <f>G6/F6</f>
        <v>4.5643153526970952E-2</v>
      </c>
      <c r="H7" s="16">
        <f>H6/F6</f>
        <v>0.9294605809128631</v>
      </c>
      <c r="I7" s="57">
        <f>I6/H6</f>
        <v>7.5892857142857137E-2</v>
      </c>
      <c r="J7" s="16">
        <f>J6/H6</f>
        <v>0.8348214285714286</v>
      </c>
      <c r="K7" s="57">
        <f>K6/J6</f>
        <v>7.4866310160427801E-2</v>
      </c>
      <c r="L7" s="16">
        <f>L6/J6</f>
        <v>0.90374331550802134</v>
      </c>
      <c r="M7" s="57">
        <f>M6/L6</f>
        <v>4.7337278106508875E-2</v>
      </c>
      <c r="N7" s="16">
        <f>N6/L6</f>
        <v>0.88165680473372776</v>
      </c>
      <c r="O7" s="57">
        <f>O6/N6</f>
        <v>7.3825503355704702E-2</v>
      </c>
      <c r="P7" s="16">
        <f>P6/N6</f>
        <v>1.0604026845637584</v>
      </c>
      <c r="Q7" s="57">
        <f>Q6/P6</f>
        <v>0.10126582278481013</v>
      </c>
    </row>
    <row r="8" spans="1:17" ht="22.5" x14ac:dyDescent="0.15">
      <c r="A8" s="131"/>
      <c r="B8" s="141" t="s">
        <v>246</v>
      </c>
      <c r="C8" s="142" t="s">
        <v>21</v>
      </c>
      <c r="D8" s="25">
        <v>61</v>
      </c>
      <c r="E8" s="50">
        <v>19</v>
      </c>
      <c r="F8" s="25">
        <v>59</v>
      </c>
      <c r="G8" s="50">
        <v>10</v>
      </c>
      <c r="H8" s="25">
        <v>66</v>
      </c>
      <c r="I8" s="50">
        <v>8</v>
      </c>
      <c r="J8" s="25">
        <v>52</v>
      </c>
      <c r="K8" s="50">
        <v>6</v>
      </c>
      <c r="L8" s="25">
        <v>39</v>
      </c>
      <c r="M8" s="50">
        <v>5</v>
      </c>
      <c r="N8" s="25">
        <v>37</v>
      </c>
      <c r="O8" s="50">
        <v>7</v>
      </c>
      <c r="P8" s="30">
        <v>46</v>
      </c>
      <c r="Q8" s="60">
        <v>13</v>
      </c>
    </row>
    <row r="9" spans="1:17" ht="19.5" thickBot="1" x14ac:dyDescent="0.2">
      <c r="A9" s="140"/>
      <c r="B9" s="112"/>
      <c r="C9" s="143"/>
      <c r="D9" s="24"/>
      <c r="E9" s="51">
        <f>E8/D8</f>
        <v>0.31147540983606559</v>
      </c>
      <c r="F9" s="16">
        <f>F8/D8</f>
        <v>0.96721311475409832</v>
      </c>
      <c r="G9" s="57">
        <f>G8/F8</f>
        <v>0.16949152542372881</v>
      </c>
      <c r="H9" s="16">
        <f>H8/F8</f>
        <v>1.1186440677966101</v>
      </c>
      <c r="I9" s="57">
        <f>I8/H8</f>
        <v>0.12121212121212122</v>
      </c>
      <c r="J9" s="16">
        <f>J8/H8</f>
        <v>0.78787878787878785</v>
      </c>
      <c r="K9" s="57">
        <f>K8/J8</f>
        <v>0.11538461538461539</v>
      </c>
      <c r="L9" s="16">
        <f>L8/J8</f>
        <v>0.75</v>
      </c>
      <c r="M9" s="57">
        <f>M8/L8</f>
        <v>0.12820512820512819</v>
      </c>
      <c r="N9" s="16">
        <f>N8/L8</f>
        <v>0.94871794871794868</v>
      </c>
      <c r="O9" s="57">
        <f>O8/N8</f>
        <v>0.1891891891891892</v>
      </c>
      <c r="P9" s="16">
        <f>P8/N8</f>
        <v>1.2432432432432432</v>
      </c>
      <c r="Q9" s="57">
        <f>Q8/P8</f>
        <v>0.28260869565217389</v>
      </c>
    </row>
    <row r="10" spans="1:17" ht="22.5" x14ac:dyDescent="0.15">
      <c r="A10" s="139" t="s">
        <v>1</v>
      </c>
      <c r="B10" s="141" t="s">
        <v>112</v>
      </c>
      <c r="C10" s="142" t="s">
        <v>21</v>
      </c>
      <c r="D10" s="25">
        <v>181</v>
      </c>
      <c r="E10" s="50">
        <v>11</v>
      </c>
      <c r="F10" s="25">
        <v>204</v>
      </c>
      <c r="G10" s="50">
        <v>12</v>
      </c>
      <c r="H10" s="25">
        <v>218</v>
      </c>
      <c r="I10" s="50">
        <v>8</v>
      </c>
      <c r="J10" s="25">
        <v>172</v>
      </c>
      <c r="K10" s="50">
        <v>2</v>
      </c>
      <c r="L10" s="25">
        <v>147</v>
      </c>
      <c r="M10" s="50">
        <v>5</v>
      </c>
      <c r="N10" s="25">
        <v>140</v>
      </c>
      <c r="O10" s="50">
        <v>9</v>
      </c>
      <c r="P10" s="31">
        <v>120</v>
      </c>
      <c r="Q10" s="61">
        <v>12</v>
      </c>
    </row>
    <row r="11" spans="1:17" ht="19.5" thickBot="1" x14ac:dyDescent="0.2">
      <c r="A11" s="131"/>
      <c r="B11" s="112"/>
      <c r="C11" s="143"/>
      <c r="D11" s="24"/>
      <c r="E11" s="51">
        <f>E10/D10</f>
        <v>6.0773480662983423E-2</v>
      </c>
      <c r="F11" s="16">
        <f>F10/D10</f>
        <v>1.1270718232044199</v>
      </c>
      <c r="G11" s="57">
        <f>G10/F10</f>
        <v>5.8823529411764705E-2</v>
      </c>
      <c r="H11" s="16">
        <f>H10/F10</f>
        <v>1.0686274509803921</v>
      </c>
      <c r="I11" s="57">
        <f>I10/H10</f>
        <v>3.669724770642202E-2</v>
      </c>
      <c r="J11" s="16">
        <f>J10/H10</f>
        <v>0.78899082568807344</v>
      </c>
      <c r="K11" s="57">
        <f>K10/J10</f>
        <v>1.1627906976744186E-2</v>
      </c>
      <c r="L11" s="16">
        <f>L10/J10</f>
        <v>0.85465116279069764</v>
      </c>
      <c r="M11" s="57">
        <f>M10/L10</f>
        <v>3.4013605442176874E-2</v>
      </c>
      <c r="N11" s="16">
        <f>N10/L10</f>
        <v>0.95238095238095233</v>
      </c>
      <c r="O11" s="57">
        <f>O10/N10</f>
        <v>6.4285714285714279E-2</v>
      </c>
      <c r="P11" s="16">
        <f>P10/N10</f>
        <v>0.8571428571428571</v>
      </c>
      <c r="Q11" s="57">
        <f>Q10/P10</f>
        <v>0.1</v>
      </c>
    </row>
    <row r="12" spans="1:17" ht="22.5" x14ac:dyDescent="0.15">
      <c r="A12" s="131"/>
      <c r="B12" s="156" t="s">
        <v>246</v>
      </c>
      <c r="C12" s="142" t="s">
        <v>21</v>
      </c>
      <c r="D12" s="25">
        <v>66</v>
      </c>
      <c r="E12" s="50">
        <v>9</v>
      </c>
      <c r="F12" s="25">
        <v>74</v>
      </c>
      <c r="G12" s="50">
        <v>5</v>
      </c>
      <c r="H12" s="25">
        <v>61</v>
      </c>
      <c r="I12" s="50">
        <v>1</v>
      </c>
      <c r="J12" s="25">
        <v>46</v>
      </c>
      <c r="K12" s="50">
        <v>1</v>
      </c>
      <c r="L12" s="25">
        <v>59</v>
      </c>
      <c r="M12" s="50">
        <v>4</v>
      </c>
      <c r="N12" s="25">
        <v>56</v>
      </c>
      <c r="O12" s="50">
        <v>5</v>
      </c>
      <c r="P12" s="31">
        <v>54</v>
      </c>
      <c r="Q12" s="61">
        <v>6</v>
      </c>
    </row>
    <row r="13" spans="1:17" ht="19.5" thickBot="1" x14ac:dyDescent="0.2">
      <c r="A13" s="131"/>
      <c r="B13" s="157"/>
      <c r="C13" s="143"/>
      <c r="D13" s="24"/>
      <c r="E13" s="51">
        <f>E12/D12</f>
        <v>0.13636363636363635</v>
      </c>
      <c r="F13" s="16">
        <f>F12/D12</f>
        <v>1.1212121212121211</v>
      </c>
      <c r="G13" s="57">
        <f>G12/F12</f>
        <v>6.7567567567567571E-2</v>
      </c>
      <c r="H13" s="16">
        <f>H12/F12</f>
        <v>0.82432432432432434</v>
      </c>
      <c r="I13" s="57">
        <f>I12/H12</f>
        <v>1.6393442622950821E-2</v>
      </c>
      <c r="J13" s="16">
        <f>J12/H12</f>
        <v>0.75409836065573765</v>
      </c>
      <c r="K13" s="57">
        <f>K12/J12</f>
        <v>2.1739130434782608E-2</v>
      </c>
      <c r="L13" s="16">
        <f>L12/J12</f>
        <v>1.2826086956521738</v>
      </c>
      <c r="M13" s="57">
        <f>M12/L12</f>
        <v>6.7796610169491525E-2</v>
      </c>
      <c r="N13" s="16">
        <f>N12/L12</f>
        <v>0.94915254237288138</v>
      </c>
      <c r="O13" s="57">
        <f>O12/N12</f>
        <v>8.9285714285714288E-2</v>
      </c>
      <c r="P13" s="16">
        <f>P12/N12</f>
        <v>0.9642857142857143</v>
      </c>
      <c r="Q13" s="57">
        <f>Q12/P12</f>
        <v>0.1111111111111111</v>
      </c>
    </row>
    <row r="14" spans="1:17" ht="22.5" x14ac:dyDescent="0.15">
      <c r="A14" s="131"/>
      <c r="B14" s="156" t="s">
        <v>247</v>
      </c>
      <c r="C14" s="142" t="s">
        <v>21</v>
      </c>
      <c r="D14" s="25">
        <v>101</v>
      </c>
      <c r="E14" s="50">
        <v>14</v>
      </c>
      <c r="F14" s="25">
        <v>98</v>
      </c>
      <c r="G14" s="50">
        <v>10</v>
      </c>
      <c r="H14" s="25">
        <v>88</v>
      </c>
      <c r="I14" s="50">
        <v>9</v>
      </c>
      <c r="J14" s="25">
        <v>70</v>
      </c>
      <c r="K14" s="50">
        <v>5</v>
      </c>
      <c r="L14" s="25">
        <v>51</v>
      </c>
      <c r="M14" s="50">
        <v>2</v>
      </c>
      <c r="N14" s="25">
        <v>51</v>
      </c>
      <c r="O14" s="50">
        <v>5</v>
      </c>
      <c r="P14" s="31">
        <v>51</v>
      </c>
      <c r="Q14" s="61">
        <v>9</v>
      </c>
    </row>
    <row r="15" spans="1:17" ht="19.5" thickBot="1" x14ac:dyDescent="0.2">
      <c r="A15" s="131"/>
      <c r="B15" s="157"/>
      <c r="C15" s="143"/>
      <c r="D15" s="24"/>
      <c r="E15" s="51">
        <f>E14/D14</f>
        <v>0.13861386138613863</v>
      </c>
      <c r="F15" s="16">
        <f>F14/D14</f>
        <v>0.97029702970297027</v>
      </c>
      <c r="G15" s="57">
        <f>G14/F14</f>
        <v>0.10204081632653061</v>
      </c>
      <c r="H15" s="16">
        <f>H14/F14</f>
        <v>0.89795918367346939</v>
      </c>
      <c r="I15" s="57">
        <f>I14/H14</f>
        <v>0.10227272727272728</v>
      </c>
      <c r="J15" s="16">
        <f>J14/H14</f>
        <v>0.79545454545454541</v>
      </c>
      <c r="K15" s="57">
        <f>K14/J14</f>
        <v>7.1428571428571425E-2</v>
      </c>
      <c r="L15" s="16">
        <f>L14/J14</f>
        <v>0.72857142857142854</v>
      </c>
      <c r="M15" s="57">
        <f>M14/L14</f>
        <v>3.9215686274509803E-2</v>
      </c>
      <c r="N15" s="16">
        <f>N14/L14</f>
        <v>1</v>
      </c>
      <c r="O15" s="57">
        <f>O14/N14</f>
        <v>9.8039215686274508E-2</v>
      </c>
      <c r="P15" s="16">
        <f>P14/N14</f>
        <v>1</v>
      </c>
      <c r="Q15" s="57">
        <f>Q14/P14</f>
        <v>0.17647058823529413</v>
      </c>
    </row>
    <row r="16" spans="1:17" ht="22.5" x14ac:dyDescent="0.15">
      <c r="A16" s="131"/>
      <c r="B16" s="156" t="s">
        <v>125</v>
      </c>
      <c r="C16" s="142" t="s">
        <v>21</v>
      </c>
      <c r="D16" s="25">
        <v>116</v>
      </c>
      <c r="E16" s="50">
        <v>5</v>
      </c>
      <c r="F16" s="25">
        <v>114</v>
      </c>
      <c r="G16" s="50">
        <v>7</v>
      </c>
      <c r="H16" s="25">
        <v>99</v>
      </c>
      <c r="I16" s="50">
        <v>2</v>
      </c>
      <c r="J16" s="25">
        <v>90</v>
      </c>
      <c r="K16" s="50">
        <v>3</v>
      </c>
      <c r="L16" s="25">
        <v>78</v>
      </c>
      <c r="M16" s="50">
        <v>3</v>
      </c>
      <c r="N16" s="25">
        <v>83</v>
      </c>
      <c r="O16" s="50">
        <v>2</v>
      </c>
      <c r="P16" s="31">
        <v>76</v>
      </c>
      <c r="Q16" s="61">
        <v>5</v>
      </c>
    </row>
    <row r="17" spans="1:17" ht="19.5" thickBot="1" x14ac:dyDescent="0.2">
      <c r="A17" s="131"/>
      <c r="B17" s="157"/>
      <c r="C17" s="143"/>
      <c r="D17" s="24"/>
      <c r="E17" s="51">
        <f>E16/D16</f>
        <v>4.3103448275862072E-2</v>
      </c>
      <c r="F17" s="16">
        <f>F16/D16</f>
        <v>0.98275862068965514</v>
      </c>
      <c r="G17" s="57">
        <f>G16/F16</f>
        <v>6.1403508771929821E-2</v>
      </c>
      <c r="H17" s="16">
        <f>H16/F16</f>
        <v>0.86842105263157898</v>
      </c>
      <c r="I17" s="57">
        <f>I16/H16</f>
        <v>2.0202020202020204E-2</v>
      </c>
      <c r="J17" s="16">
        <f>J16/H16</f>
        <v>0.90909090909090906</v>
      </c>
      <c r="K17" s="57">
        <f>K16/J16</f>
        <v>3.3333333333333333E-2</v>
      </c>
      <c r="L17" s="16">
        <f>L16/J16</f>
        <v>0.8666666666666667</v>
      </c>
      <c r="M17" s="57">
        <f>M16/L16</f>
        <v>3.8461538461538464E-2</v>
      </c>
      <c r="N17" s="16">
        <f>N16/L16</f>
        <v>1.0641025641025641</v>
      </c>
      <c r="O17" s="57">
        <f>O16/N16</f>
        <v>2.4096385542168676E-2</v>
      </c>
      <c r="P17" s="16">
        <f>P16/N16</f>
        <v>0.91566265060240959</v>
      </c>
      <c r="Q17" s="57">
        <f>Q16/P16</f>
        <v>6.5789473684210523E-2</v>
      </c>
    </row>
    <row r="18" spans="1:17" ht="22.5" x14ac:dyDescent="0.15">
      <c r="A18" s="131"/>
      <c r="B18" s="141" t="s">
        <v>114</v>
      </c>
      <c r="C18" s="142" t="s">
        <v>21</v>
      </c>
      <c r="D18" s="25">
        <v>81</v>
      </c>
      <c r="E18" s="50">
        <v>5</v>
      </c>
      <c r="F18" s="25">
        <v>80</v>
      </c>
      <c r="G18" s="50">
        <v>3</v>
      </c>
      <c r="H18" s="25">
        <v>68</v>
      </c>
      <c r="I18" s="50">
        <v>2</v>
      </c>
      <c r="J18" s="25">
        <v>63</v>
      </c>
      <c r="K18" s="50">
        <v>1</v>
      </c>
      <c r="L18" s="25">
        <v>50</v>
      </c>
      <c r="M18" s="50">
        <v>2</v>
      </c>
      <c r="N18" s="25">
        <v>56</v>
      </c>
      <c r="O18" s="50">
        <v>5</v>
      </c>
      <c r="P18" s="31">
        <v>55</v>
      </c>
      <c r="Q18" s="61">
        <v>5</v>
      </c>
    </row>
    <row r="19" spans="1:17" ht="19.5" thickBot="1" x14ac:dyDescent="0.2">
      <c r="A19" s="140"/>
      <c r="B19" s="112"/>
      <c r="C19" s="143"/>
      <c r="D19" s="24"/>
      <c r="E19" s="51">
        <f>E18/D18</f>
        <v>6.1728395061728392E-2</v>
      </c>
      <c r="F19" s="16">
        <f>F18/D18</f>
        <v>0.98765432098765427</v>
      </c>
      <c r="G19" s="57">
        <f>G18/F18</f>
        <v>3.7499999999999999E-2</v>
      </c>
      <c r="H19" s="16">
        <f>H18/F18</f>
        <v>0.85</v>
      </c>
      <c r="I19" s="57">
        <f>I18/H18</f>
        <v>2.9411764705882353E-2</v>
      </c>
      <c r="J19" s="16">
        <f>J18/H18</f>
        <v>0.92647058823529416</v>
      </c>
      <c r="K19" s="57">
        <f>K18/J18</f>
        <v>1.5873015873015872E-2</v>
      </c>
      <c r="L19" s="16">
        <f>L18/J18</f>
        <v>0.79365079365079361</v>
      </c>
      <c r="M19" s="57">
        <f>M18/L18</f>
        <v>0.04</v>
      </c>
      <c r="N19" s="16">
        <f>N18/L18</f>
        <v>1.1200000000000001</v>
      </c>
      <c r="O19" s="57">
        <f>O18/N18</f>
        <v>8.9285714285714288E-2</v>
      </c>
      <c r="P19" s="16">
        <f>P18/N18</f>
        <v>0.9821428571428571</v>
      </c>
      <c r="Q19" s="57">
        <f>Q18/P18</f>
        <v>9.0909090909090912E-2</v>
      </c>
    </row>
    <row r="20" spans="1:17" ht="18.75" customHeight="1" x14ac:dyDescent="0.15">
      <c r="A20" s="129" t="s">
        <v>77</v>
      </c>
      <c r="B20" s="106" t="s">
        <v>26</v>
      </c>
      <c r="C20" s="118" t="s">
        <v>38</v>
      </c>
      <c r="D20" s="6"/>
      <c r="E20" s="7"/>
      <c r="F20" s="6"/>
      <c r="G20" s="7"/>
      <c r="H20" s="26">
        <v>29</v>
      </c>
      <c r="I20" s="52">
        <v>0</v>
      </c>
      <c r="J20" s="26">
        <v>34</v>
      </c>
      <c r="K20" s="52">
        <v>2</v>
      </c>
      <c r="L20" s="26">
        <v>22</v>
      </c>
      <c r="M20" s="52">
        <v>1</v>
      </c>
      <c r="N20" s="26">
        <v>11</v>
      </c>
      <c r="O20" s="52">
        <v>1</v>
      </c>
      <c r="P20" s="6"/>
      <c r="Q20" s="7"/>
    </row>
    <row r="21" spans="1:17" ht="19.5" thickBot="1" x14ac:dyDescent="0.2">
      <c r="A21" s="123"/>
      <c r="B21" s="107"/>
      <c r="C21" s="119"/>
      <c r="D21" s="102"/>
      <c r="E21" s="103"/>
      <c r="F21" s="102"/>
      <c r="G21" s="103"/>
      <c r="H21" s="19"/>
      <c r="I21" s="53">
        <f>I20/H20</f>
        <v>0</v>
      </c>
      <c r="J21" s="47">
        <f>J20/H20</f>
        <v>1.1724137931034482</v>
      </c>
      <c r="K21" s="53">
        <f>K20/J20</f>
        <v>5.8823529411764705E-2</v>
      </c>
      <c r="L21" s="47">
        <f>L20/J20</f>
        <v>0.6470588235294118</v>
      </c>
      <c r="M21" s="53">
        <f>M20/L20</f>
        <v>4.5454545454545456E-2</v>
      </c>
      <c r="N21" s="47">
        <f>N20/L20</f>
        <v>0.5</v>
      </c>
      <c r="O21" s="53">
        <f>O20/N20</f>
        <v>9.0909090909090912E-2</v>
      </c>
      <c r="P21" s="102"/>
      <c r="Q21" s="103"/>
    </row>
    <row r="22" spans="1:17" ht="18.75" customHeight="1" x14ac:dyDescent="0.15">
      <c r="A22" s="123"/>
      <c r="B22" s="106" t="s">
        <v>25</v>
      </c>
      <c r="C22" s="118" t="s">
        <v>21</v>
      </c>
      <c r="D22" s="6"/>
      <c r="E22" s="7"/>
      <c r="F22" s="6"/>
      <c r="G22" s="7"/>
      <c r="H22" s="26">
        <v>44</v>
      </c>
      <c r="I22" s="52">
        <v>2</v>
      </c>
      <c r="J22" s="26">
        <v>48</v>
      </c>
      <c r="K22" s="52">
        <v>4</v>
      </c>
      <c r="L22" s="26">
        <v>58</v>
      </c>
      <c r="M22" s="52">
        <v>6</v>
      </c>
      <c r="N22" s="26">
        <v>74</v>
      </c>
      <c r="O22" s="52">
        <v>15</v>
      </c>
      <c r="P22" s="28">
        <v>77</v>
      </c>
      <c r="Q22" s="62">
        <v>22</v>
      </c>
    </row>
    <row r="23" spans="1:17" ht="19.5" thickBot="1" x14ac:dyDescent="0.2">
      <c r="A23" s="123"/>
      <c r="B23" s="107"/>
      <c r="C23" s="119"/>
      <c r="D23" s="102"/>
      <c r="E23" s="103"/>
      <c r="F23" s="102"/>
      <c r="G23" s="103"/>
      <c r="H23" s="19"/>
      <c r="I23" s="53">
        <f>I22/H22</f>
        <v>4.5454545454545456E-2</v>
      </c>
      <c r="J23" s="47">
        <f>J22/H22</f>
        <v>1.0909090909090908</v>
      </c>
      <c r="K23" s="53">
        <f>K22/J22</f>
        <v>8.3333333333333329E-2</v>
      </c>
      <c r="L23" s="47">
        <f>L22/J22</f>
        <v>1.2083333333333333</v>
      </c>
      <c r="M23" s="53">
        <f>M22/L22</f>
        <v>0.10344827586206896</v>
      </c>
      <c r="N23" s="47">
        <f>N22/L22</f>
        <v>1.2758620689655173</v>
      </c>
      <c r="O23" s="53">
        <f>O22/N22</f>
        <v>0.20270270270270271</v>
      </c>
      <c r="P23" s="47">
        <f>P22/N22</f>
        <v>1.0405405405405406</v>
      </c>
      <c r="Q23" s="63">
        <f>Q22/P22</f>
        <v>0.2857142857142857</v>
      </c>
    </row>
    <row r="24" spans="1:17" ht="18.75" customHeight="1" x14ac:dyDescent="0.15">
      <c r="A24" s="123"/>
      <c r="B24" s="108" t="s">
        <v>27</v>
      </c>
      <c r="C24" s="118" t="s">
        <v>21</v>
      </c>
      <c r="D24" s="6"/>
      <c r="E24" s="7"/>
      <c r="F24" s="6"/>
      <c r="G24" s="7"/>
      <c r="H24" s="26">
        <v>59</v>
      </c>
      <c r="I24" s="52">
        <v>4</v>
      </c>
      <c r="J24" s="26">
        <v>60</v>
      </c>
      <c r="K24" s="52">
        <v>1</v>
      </c>
      <c r="L24" s="26">
        <v>42</v>
      </c>
      <c r="M24" s="52">
        <v>2</v>
      </c>
      <c r="N24" s="26">
        <v>49</v>
      </c>
      <c r="O24" s="52">
        <v>13</v>
      </c>
      <c r="P24" s="28">
        <v>66</v>
      </c>
      <c r="Q24" s="62">
        <v>21</v>
      </c>
    </row>
    <row r="25" spans="1:17" ht="19.5" thickBot="1" x14ac:dyDescent="0.2">
      <c r="A25" s="123"/>
      <c r="B25" s="107"/>
      <c r="C25" s="119"/>
      <c r="D25" s="102"/>
      <c r="E25" s="103"/>
      <c r="F25" s="102"/>
      <c r="G25" s="103"/>
      <c r="H25" s="19"/>
      <c r="I25" s="53">
        <f>I24/H24</f>
        <v>6.7796610169491525E-2</v>
      </c>
      <c r="J25" s="47">
        <f>J24/H24</f>
        <v>1.0169491525423728</v>
      </c>
      <c r="K25" s="53">
        <f>K24/J24</f>
        <v>1.6666666666666666E-2</v>
      </c>
      <c r="L25" s="47">
        <f>L24/J24</f>
        <v>0.7</v>
      </c>
      <c r="M25" s="53">
        <f>M24/L24</f>
        <v>4.7619047619047616E-2</v>
      </c>
      <c r="N25" s="47">
        <f>N24/L24</f>
        <v>1.1666666666666667</v>
      </c>
      <c r="O25" s="53">
        <f>O24/N24</f>
        <v>0.26530612244897961</v>
      </c>
      <c r="P25" s="47">
        <f>P24/N24</f>
        <v>1.346938775510204</v>
      </c>
      <c r="Q25" s="63">
        <f>Q24/P24</f>
        <v>0.31818181818181818</v>
      </c>
    </row>
    <row r="26" spans="1:17" ht="18.75" customHeight="1" x14ac:dyDescent="0.15">
      <c r="A26" s="123"/>
      <c r="B26" s="106" t="s">
        <v>28</v>
      </c>
      <c r="C26" s="118" t="s">
        <v>21</v>
      </c>
      <c r="D26" s="6"/>
      <c r="E26" s="7"/>
      <c r="F26" s="6"/>
      <c r="G26" s="7"/>
      <c r="H26" s="26">
        <v>57</v>
      </c>
      <c r="I26" s="52">
        <v>16</v>
      </c>
      <c r="J26" s="26">
        <v>42</v>
      </c>
      <c r="K26" s="52">
        <v>6</v>
      </c>
      <c r="L26" s="26">
        <v>37</v>
      </c>
      <c r="M26" s="52">
        <v>2</v>
      </c>
      <c r="N26" s="26">
        <v>45</v>
      </c>
      <c r="O26" s="52">
        <v>12</v>
      </c>
      <c r="P26" s="28">
        <v>50</v>
      </c>
      <c r="Q26" s="62">
        <v>23</v>
      </c>
    </row>
    <row r="27" spans="1:17" ht="19.5" thickBot="1" x14ac:dyDescent="0.2">
      <c r="A27" s="124"/>
      <c r="B27" s="107"/>
      <c r="C27" s="119"/>
      <c r="D27" s="102"/>
      <c r="E27" s="103"/>
      <c r="F27" s="102"/>
      <c r="G27" s="103"/>
      <c r="H27" s="19"/>
      <c r="I27" s="53">
        <f>I26/H26</f>
        <v>0.2807017543859649</v>
      </c>
      <c r="J27" s="47">
        <f>J26/H26</f>
        <v>0.73684210526315785</v>
      </c>
      <c r="K27" s="53">
        <f>K26/J26</f>
        <v>0.14285714285714285</v>
      </c>
      <c r="L27" s="47">
        <f>L26/J26</f>
        <v>0.88095238095238093</v>
      </c>
      <c r="M27" s="53">
        <f>M26/L26</f>
        <v>5.4054054054054057E-2</v>
      </c>
      <c r="N27" s="47">
        <f>N26/L26</f>
        <v>1.2162162162162162</v>
      </c>
      <c r="O27" s="53">
        <f>O26/N26</f>
        <v>0.26666666666666666</v>
      </c>
      <c r="P27" s="47">
        <f>P26/N26</f>
        <v>1.1111111111111112</v>
      </c>
      <c r="Q27" s="63">
        <f>Q26/P26</f>
        <v>0.46</v>
      </c>
    </row>
    <row r="28" spans="1:17" ht="18.75" customHeight="1" x14ac:dyDescent="0.15">
      <c r="A28" s="129" t="s">
        <v>7</v>
      </c>
      <c r="B28" s="104" t="s">
        <v>113</v>
      </c>
      <c r="C28" s="118" t="s">
        <v>21</v>
      </c>
      <c r="D28" s="6"/>
      <c r="E28" s="7"/>
      <c r="F28" s="6"/>
      <c r="G28" s="7"/>
      <c r="H28" s="26">
        <v>53</v>
      </c>
      <c r="I28" s="52">
        <v>0</v>
      </c>
      <c r="J28" s="26">
        <v>43</v>
      </c>
      <c r="K28" s="52">
        <v>0</v>
      </c>
      <c r="L28" s="26">
        <v>30</v>
      </c>
      <c r="M28" s="52">
        <v>0</v>
      </c>
      <c r="N28" s="26">
        <v>34</v>
      </c>
      <c r="O28" s="52">
        <v>1</v>
      </c>
      <c r="P28" s="28">
        <v>31</v>
      </c>
      <c r="Q28" s="62">
        <v>2</v>
      </c>
    </row>
    <row r="29" spans="1:17" ht="19.5" thickBot="1" x14ac:dyDescent="0.2">
      <c r="A29" s="123"/>
      <c r="B29" s="105"/>
      <c r="C29" s="135"/>
      <c r="D29" s="102"/>
      <c r="E29" s="103"/>
      <c r="F29" s="102"/>
      <c r="G29" s="103"/>
      <c r="H29" s="19"/>
      <c r="I29" s="53">
        <f>I28/H28</f>
        <v>0</v>
      </c>
      <c r="J29" s="47">
        <f>J28/H28</f>
        <v>0.81132075471698117</v>
      </c>
      <c r="K29" s="53">
        <f>K28/J28</f>
        <v>0</v>
      </c>
      <c r="L29" s="47">
        <f>L28/J28</f>
        <v>0.69767441860465118</v>
      </c>
      <c r="M29" s="53">
        <f>M28/L28</f>
        <v>0</v>
      </c>
      <c r="N29" s="47">
        <f>N28/L28</f>
        <v>1.1333333333333333</v>
      </c>
      <c r="O29" s="53">
        <f>O28/N28</f>
        <v>2.9411764705882353E-2</v>
      </c>
      <c r="P29" s="47">
        <f>P28/N28</f>
        <v>0.91176470588235292</v>
      </c>
      <c r="Q29" s="63">
        <f>Q28/P28</f>
        <v>6.4516129032258063E-2</v>
      </c>
    </row>
    <row r="30" spans="1:17" ht="22.5" x14ac:dyDescent="0.15">
      <c r="A30" s="123"/>
      <c r="B30" s="117" t="s">
        <v>25</v>
      </c>
      <c r="C30" s="118" t="s">
        <v>21</v>
      </c>
      <c r="D30" s="6"/>
      <c r="E30" s="7"/>
      <c r="F30" s="6"/>
      <c r="G30" s="7"/>
      <c r="H30" s="26">
        <v>76</v>
      </c>
      <c r="I30" s="52">
        <v>2</v>
      </c>
      <c r="J30" s="26">
        <v>73</v>
      </c>
      <c r="K30" s="52">
        <v>0</v>
      </c>
      <c r="L30" s="26">
        <v>69</v>
      </c>
      <c r="M30" s="52">
        <v>1</v>
      </c>
      <c r="N30" s="26">
        <v>61</v>
      </c>
      <c r="O30" s="52">
        <v>2</v>
      </c>
      <c r="P30" s="28">
        <v>70</v>
      </c>
      <c r="Q30" s="62">
        <v>3</v>
      </c>
    </row>
    <row r="31" spans="1:17" ht="19.5" thickBot="1" x14ac:dyDescent="0.2">
      <c r="A31" s="124"/>
      <c r="B31" s="105"/>
      <c r="C31" s="135"/>
      <c r="D31" s="102"/>
      <c r="E31" s="103"/>
      <c r="F31" s="102"/>
      <c r="G31" s="103"/>
      <c r="H31" s="19"/>
      <c r="I31" s="53">
        <f>I30/H30</f>
        <v>2.6315789473684209E-2</v>
      </c>
      <c r="J31" s="47">
        <f>J30/H30</f>
        <v>0.96052631578947367</v>
      </c>
      <c r="K31" s="53">
        <f>K30/J30</f>
        <v>0</v>
      </c>
      <c r="L31" s="47">
        <f>L30/J30</f>
        <v>0.9452054794520548</v>
      </c>
      <c r="M31" s="53">
        <f>M30/L30</f>
        <v>1.4492753623188406E-2</v>
      </c>
      <c r="N31" s="47">
        <f>N30/L30</f>
        <v>0.88405797101449279</v>
      </c>
      <c r="O31" s="53">
        <f>O30/N30</f>
        <v>3.2786885245901641E-2</v>
      </c>
      <c r="P31" s="47">
        <f>P30/N30</f>
        <v>1.1475409836065573</v>
      </c>
      <c r="Q31" s="63">
        <f>Q30/P30</f>
        <v>4.2857142857142858E-2</v>
      </c>
    </row>
    <row r="32" spans="1:17" ht="22.5" x14ac:dyDescent="0.15">
      <c r="A32" s="98" t="s">
        <v>148</v>
      </c>
      <c r="B32" s="108" t="s">
        <v>151</v>
      </c>
      <c r="C32" s="118" t="s">
        <v>21</v>
      </c>
      <c r="D32" s="6"/>
      <c r="E32" s="7"/>
      <c r="F32" s="6"/>
      <c r="G32" s="7"/>
      <c r="H32" s="26">
        <v>62</v>
      </c>
      <c r="I32" s="52">
        <v>19</v>
      </c>
      <c r="J32" s="26">
        <v>50</v>
      </c>
      <c r="K32" s="52">
        <v>13</v>
      </c>
      <c r="L32" s="26">
        <v>36</v>
      </c>
      <c r="M32" s="52">
        <v>9</v>
      </c>
      <c r="N32" s="6"/>
      <c r="O32" s="7"/>
      <c r="P32" s="6"/>
      <c r="Q32" s="7"/>
    </row>
    <row r="33" spans="1:17" ht="19.5" thickBot="1" x14ac:dyDescent="0.2">
      <c r="A33" s="144"/>
      <c r="B33" s="107"/>
      <c r="C33" s="119"/>
      <c r="D33" s="102"/>
      <c r="E33" s="103"/>
      <c r="F33" s="102"/>
      <c r="G33" s="103"/>
      <c r="H33" s="19"/>
      <c r="I33" s="53">
        <f>I32/H32</f>
        <v>0.30645161290322581</v>
      </c>
      <c r="J33" s="47">
        <f>J32/H32</f>
        <v>0.80645161290322576</v>
      </c>
      <c r="K33" s="53">
        <f>K32/J32</f>
        <v>0.26</v>
      </c>
      <c r="L33" s="47">
        <f>L32/J32</f>
        <v>0.72</v>
      </c>
      <c r="M33" s="53">
        <f>M32/L32</f>
        <v>0.25</v>
      </c>
      <c r="N33" s="102"/>
      <c r="O33" s="103"/>
      <c r="P33" s="102"/>
      <c r="Q33" s="103"/>
    </row>
    <row r="34" spans="1:17" ht="22.5" x14ac:dyDescent="0.15">
      <c r="A34" s="98" t="s">
        <v>39</v>
      </c>
      <c r="B34" s="108" t="s">
        <v>126</v>
      </c>
      <c r="C34" s="118" t="s">
        <v>21</v>
      </c>
      <c r="D34" s="6"/>
      <c r="E34" s="7"/>
      <c r="F34" s="6"/>
      <c r="G34" s="7"/>
      <c r="H34" s="26">
        <v>130</v>
      </c>
      <c r="I34" s="52">
        <v>3</v>
      </c>
      <c r="J34" s="26">
        <v>105</v>
      </c>
      <c r="K34" s="52">
        <v>2</v>
      </c>
      <c r="L34" s="26">
        <v>92</v>
      </c>
      <c r="M34" s="52">
        <v>0</v>
      </c>
      <c r="N34" s="26">
        <v>77</v>
      </c>
      <c r="O34" s="52">
        <v>1</v>
      </c>
      <c r="P34" s="28">
        <v>65</v>
      </c>
      <c r="Q34" s="62">
        <v>1</v>
      </c>
    </row>
    <row r="35" spans="1:17" ht="19.5" thickBot="1" x14ac:dyDescent="0.2">
      <c r="A35" s="144"/>
      <c r="B35" s="107"/>
      <c r="C35" s="119"/>
      <c r="D35" s="102"/>
      <c r="E35" s="103"/>
      <c r="F35" s="102"/>
      <c r="G35" s="103"/>
      <c r="H35" s="19"/>
      <c r="I35" s="53">
        <f>I34/H34</f>
        <v>2.3076923076923078E-2</v>
      </c>
      <c r="J35" s="47">
        <f>J34/H34</f>
        <v>0.80769230769230771</v>
      </c>
      <c r="K35" s="53">
        <f>K34/J34</f>
        <v>1.9047619047619049E-2</v>
      </c>
      <c r="L35" s="47">
        <f>L34/J34</f>
        <v>0.87619047619047619</v>
      </c>
      <c r="M35" s="53">
        <f>M34/L34</f>
        <v>0</v>
      </c>
      <c r="N35" s="47">
        <f>N34/L34</f>
        <v>0.83695652173913049</v>
      </c>
      <c r="O35" s="53">
        <f>O34/N34</f>
        <v>1.2987012987012988E-2</v>
      </c>
      <c r="P35" s="47">
        <f>P34/N34</f>
        <v>0.8441558441558441</v>
      </c>
      <c r="Q35" s="53">
        <f>Q34/P34</f>
        <v>1.5384615384615385E-2</v>
      </c>
    </row>
    <row r="36" spans="1:17" ht="22.5" x14ac:dyDescent="0.15">
      <c r="A36" s="144"/>
      <c r="B36" s="108" t="s">
        <v>249</v>
      </c>
      <c r="C36" s="118" t="s">
        <v>21</v>
      </c>
      <c r="D36" s="6"/>
      <c r="E36" s="7"/>
      <c r="F36" s="6"/>
      <c r="G36" s="7"/>
      <c r="H36" s="26">
        <v>28</v>
      </c>
      <c r="I36" s="52">
        <v>0</v>
      </c>
      <c r="J36" s="26">
        <v>21</v>
      </c>
      <c r="K36" s="52">
        <v>0</v>
      </c>
      <c r="L36" s="26">
        <v>21</v>
      </c>
      <c r="M36" s="52">
        <v>0</v>
      </c>
      <c r="N36" s="26">
        <v>29</v>
      </c>
      <c r="O36" s="52">
        <v>3</v>
      </c>
      <c r="P36" s="28">
        <v>30</v>
      </c>
      <c r="Q36" s="62">
        <v>3</v>
      </c>
    </row>
    <row r="37" spans="1:17" ht="19.5" thickBot="1" x14ac:dyDescent="0.2">
      <c r="A37" s="99"/>
      <c r="B37" s="107"/>
      <c r="C37" s="119"/>
      <c r="D37" s="102"/>
      <c r="E37" s="103"/>
      <c r="F37" s="102"/>
      <c r="G37" s="103"/>
      <c r="H37" s="19"/>
      <c r="I37" s="53">
        <f>I36/H36</f>
        <v>0</v>
      </c>
      <c r="J37" s="47">
        <f>J36/H36</f>
        <v>0.75</v>
      </c>
      <c r="K37" s="53">
        <f>K36/J36</f>
        <v>0</v>
      </c>
      <c r="L37" s="47">
        <f>L36/J36</f>
        <v>1</v>
      </c>
      <c r="M37" s="53">
        <f>M36/L36</f>
        <v>0</v>
      </c>
      <c r="N37" s="47">
        <f>N36/L36</f>
        <v>1.3809523809523809</v>
      </c>
      <c r="O37" s="53">
        <f>O36/N36</f>
        <v>0.10344827586206896</v>
      </c>
      <c r="P37" s="47">
        <f>P36/N36</f>
        <v>1.0344827586206897</v>
      </c>
      <c r="Q37" s="53">
        <f>Q36/P36</f>
        <v>0.1</v>
      </c>
    </row>
    <row r="38" spans="1:17" ht="22.5" x14ac:dyDescent="0.15">
      <c r="A38" s="98" t="s">
        <v>11</v>
      </c>
      <c r="B38" s="108" t="s">
        <v>115</v>
      </c>
      <c r="C38" s="118" t="s">
        <v>21</v>
      </c>
      <c r="D38" s="6"/>
      <c r="E38" s="7"/>
      <c r="F38" s="6"/>
      <c r="G38" s="7"/>
      <c r="H38" s="26">
        <v>55</v>
      </c>
      <c r="I38" s="52">
        <v>1</v>
      </c>
      <c r="J38" s="26">
        <v>40</v>
      </c>
      <c r="K38" s="52">
        <v>2</v>
      </c>
      <c r="L38" s="26">
        <v>35</v>
      </c>
      <c r="M38" s="52">
        <v>1</v>
      </c>
      <c r="N38" s="26">
        <v>48</v>
      </c>
      <c r="O38" s="52">
        <v>1</v>
      </c>
      <c r="P38" s="28">
        <v>42</v>
      </c>
      <c r="Q38" s="62">
        <v>6</v>
      </c>
    </row>
    <row r="39" spans="1:17" ht="19.5" thickBot="1" x14ac:dyDescent="0.2">
      <c r="A39" s="144"/>
      <c r="B39" s="107"/>
      <c r="C39" s="119"/>
      <c r="D39" s="102"/>
      <c r="E39" s="103"/>
      <c r="F39" s="102"/>
      <c r="G39" s="103"/>
      <c r="H39" s="19"/>
      <c r="I39" s="53">
        <f>I38/H38</f>
        <v>1.8181818181818181E-2</v>
      </c>
      <c r="J39" s="47">
        <f>J38/H38</f>
        <v>0.72727272727272729</v>
      </c>
      <c r="K39" s="53">
        <f>K38/J38</f>
        <v>0.05</v>
      </c>
      <c r="L39" s="47">
        <f>L38/J38</f>
        <v>0.875</v>
      </c>
      <c r="M39" s="53">
        <f>M38/L38</f>
        <v>2.8571428571428571E-2</v>
      </c>
      <c r="N39" s="47">
        <f>N38/L38</f>
        <v>1.3714285714285714</v>
      </c>
      <c r="O39" s="53">
        <f>O38/N38</f>
        <v>2.0833333333333332E-2</v>
      </c>
      <c r="P39" s="47">
        <f>P38/N38</f>
        <v>0.875</v>
      </c>
      <c r="Q39" s="63">
        <f>Q38/P38</f>
        <v>0.14285714285714285</v>
      </c>
    </row>
    <row r="40" spans="1:17" ht="22.5" x14ac:dyDescent="0.15">
      <c r="A40" s="144"/>
      <c r="B40" s="108" t="s">
        <v>116</v>
      </c>
      <c r="C40" s="118" t="s">
        <v>21</v>
      </c>
      <c r="D40" s="6"/>
      <c r="E40" s="7"/>
      <c r="F40" s="6"/>
      <c r="G40" s="7"/>
      <c r="H40" s="26">
        <v>26</v>
      </c>
      <c r="I40" s="52">
        <v>1</v>
      </c>
      <c r="J40" s="26">
        <v>24</v>
      </c>
      <c r="K40" s="52">
        <v>0</v>
      </c>
      <c r="L40" s="26">
        <v>24</v>
      </c>
      <c r="M40" s="52">
        <v>1</v>
      </c>
      <c r="N40" s="26">
        <v>16</v>
      </c>
      <c r="O40" s="52">
        <v>1</v>
      </c>
      <c r="P40" s="28">
        <v>12</v>
      </c>
      <c r="Q40" s="62">
        <v>1</v>
      </c>
    </row>
    <row r="41" spans="1:17" ht="19.5" thickBot="1" x14ac:dyDescent="0.2">
      <c r="A41" s="99"/>
      <c r="B41" s="107"/>
      <c r="C41" s="119"/>
      <c r="D41" s="102"/>
      <c r="E41" s="103"/>
      <c r="F41" s="102"/>
      <c r="G41" s="103"/>
      <c r="H41" s="19"/>
      <c r="I41" s="53">
        <f>I40/H40</f>
        <v>3.8461538461538464E-2</v>
      </c>
      <c r="J41" s="47">
        <f>J40/H40</f>
        <v>0.92307692307692313</v>
      </c>
      <c r="K41" s="53">
        <f>K40/J40</f>
        <v>0</v>
      </c>
      <c r="L41" s="47">
        <f>L40/J40</f>
        <v>1</v>
      </c>
      <c r="M41" s="53">
        <f>M40/L40</f>
        <v>4.1666666666666664E-2</v>
      </c>
      <c r="N41" s="47">
        <f>N40/L40</f>
        <v>0.66666666666666663</v>
      </c>
      <c r="O41" s="53">
        <f>O40/N40</f>
        <v>6.25E-2</v>
      </c>
      <c r="P41" s="47">
        <f>P40/N40</f>
        <v>0.75</v>
      </c>
      <c r="Q41" s="63">
        <f>Q40/P40</f>
        <v>8.3333333333333329E-2</v>
      </c>
    </row>
    <row r="42" spans="1:17" ht="18.75" customHeight="1" x14ac:dyDescent="0.15">
      <c r="A42" s="120" t="s">
        <v>122</v>
      </c>
      <c r="B42" s="106" t="s">
        <v>123</v>
      </c>
      <c r="C42" s="118" t="s">
        <v>14</v>
      </c>
      <c r="D42" s="6"/>
      <c r="E42" s="7"/>
      <c r="F42" s="6"/>
      <c r="G42" s="7"/>
      <c r="H42" s="26">
        <v>181</v>
      </c>
      <c r="I42" s="52">
        <v>5</v>
      </c>
      <c r="J42" s="26">
        <v>189</v>
      </c>
      <c r="K42" s="52">
        <v>4</v>
      </c>
      <c r="L42" s="26">
        <v>193</v>
      </c>
      <c r="M42" s="52">
        <v>5</v>
      </c>
      <c r="N42" s="26">
        <v>168</v>
      </c>
      <c r="O42" s="52">
        <v>3</v>
      </c>
      <c r="P42" s="28">
        <v>173</v>
      </c>
      <c r="Q42" s="62">
        <v>2</v>
      </c>
    </row>
    <row r="43" spans="1:17" ht="19.5" thickBot="1" x14ac:dyDescent="0.2">
      <c r="A43" s="123"/>
      <c r="B43" s="107"/>
      <c r="C43" s="119"/>
      <c r="D43" s="102"/>
      <c r="E43" s="103"/>
      <c r="F43" s="102"/>
      <c r="G43" s="103"/>
      <c r="H43" s="19"/>
      <c r="I43" s="53">
        <f>I42/H42</f>
        <v>2.7624309392265192E-2</v>
      </c>
      <c r="J43" s="47">
        <f>J42/H42</f>
        <v>1.0441988950276244</v>
      </c>
      <c r="K43" s="53">
        <f>K42/J42</f>
        <v>2.1164021164021163E-2</v>
      </c>
      <c r="L43" s="47">
        <f>L42/J42</f>
        <v>1.0211640211640212</v>
      </c>
      <c r="M43" s="53">
        <f>M42/L42</f>
        <v>2.5906735751295335E-2</v>
      </c>
      <c r="N43" s="47">
        <f>N42/L42</f>
        <v>0.8704663212435233</v>
      </c>
      <c r="O43" s="53">
        <f>O42/N42</f>
        <v>1.7857142857142856E-2</v>
      </c>
      <c r="P43" s="47">
        <f>P42/N42</f>
        <v>1.0297619047619047</v>
      </c>
      <c r="Q43" s="63">
        <f>Q42/P42</f>
        <v>1.1560693641618497E-2</v>
      </c>
    </row>
    <row r="44" spans="1:17" ht="18.75" customHeight="1" x14ac:dyDescent="0.15">
      <c r="A44" s="123"/>
      <c r="B44" s="106" t="s">
        <v>124</v>
      </c>
      <c r="C44" s="118" t="s">
        <v>38</v>
      </c>
      <c r="D44" s="6"/>
      <c r="E44" s="7"/>
      <c r="F44" s="6"/>
      <c r="G44" s="7"/>
      <c r="H44" s="26">
        <v>133</v>
      </c>
      <c r="I44" s="52">
        <v>10</v>
      </c>
      <c r="J44" s="26">
        <v>138</v>
      </c>
      <c r="K44" s="52">
        <v>9</v>
      </c>
      <c r="L44" s="26">
        <v>136</v>
      </c>
      <c r="M44" s="52">
        <v>11</v>
      </c>
      <c r="N44" s="26">
        <v>130</v>
      </c>
      <c r="O44" s="52">
        <v>8</v>
      </c>
      <c r="P44" s="28">
        <v>130</v>
      </c>
      <c r="Q44" s="62">
        <v>12</v>
      </c>
    </row>
    <row r="45" spans="1:17" ht="19.5" thickBot="1" x14ac:dyDescent="0.2">
      <c r="A45" s="124"/>
      <c r="B45" s="107"/>
      <c r="C45" s="119"/>
      <c r="D45" s="102"/>
      <c r="E45" s="103"/>
      <c r="F45" s="102"/>
      <c r="G45" s="103"/>
      <c r="H45" s="19"/>
      <c r="I45" s="53">
        <f>I44/H44</f>
        <v>7.5187969924812026E-2</v>
      </c>
      <c r="J45" s="47">
        <f>J44/H44</f>
        <v>1.0375939849624061</v>
      </c>
      <c r="K45" s="53">
        <f>K44/J44</f>
        <v>6.5217391304347824E-2</v>
      </c>
      <c r="L45" s="47">
        <f>L44/J44</f>
        <v>0.98550724637681164</v>
      </c>
      <c r="M45" s="53">
        <f>M44/L44</f>
        <v>8.0882352941176475E-2</v>
      </c>
      <c r="N45" s="47">
        <f>N44/L44</f>
        <v>0.95588235294117652</v>
      </c>
      <c r="O45" s="53">
        <f>O44/N44</f>
        <v>6.1538461538461542E-2</v>
      </c>
      <c r="P45" s="47">
        <f>P44/N44</f>
        <v>1</v>
      </c>
      <c r="Q45" s="63">
        <f>Q44/P44</f>
        <v>9.2307692307692313E-2</v>
      </c>
    </row>
    <row r="46" spans="1:17" ht="19.5" customHeight="1" x14ac:dyDescent="0.15"/>
    <row r="52" ht="19.5" customHeight="1" x14ac:dyDescent="0.15"/>
    <row r="62" ht="19.5" customHeight="1" x14ac:dyDescent="0.15"/>
    <row r="66" ht="19.5" customHeight="1" x14ac:dyDescent="0.15"/>
    <row r="76" ht="19.5" customHeight="1" x14ac:dyDescent="0.15"/>
    <row r="80" ht="18.75" customHeight="1" x14ac:dyDescent="0.15"/>
    <row r="82" ht="18.75" customHeight="1" x14ac:dyDescent="0.15"/>
    <row r="84" ht="18.75" customHeight="1" x14ac:dyDescent="0.15"/>
    <row r="88" ht="18.75" customHeight="1" x14ac:dyDescent="0.15"/>
    <row r="90" ht="18.75" customHeight="1" x14ac:dyDescent="0.15"/>
    <row r="92" ht="18.75" customHeight="1" x14ac:dyDescent="0.15"/>
    <row r="94" ht="18.75" customHeight="1" x14ac:dyDescent="0.15"/>
    <row r="96" ht="18.75" customHeight="1" x14ac:dyDescent="0.15"/>
  </sheetData>
  <mergeCells count="84">
    <mergeCell ref="N33:O33"/>
    <mergeCell ref="F29:G29"/>
    <mergeCell ref="A20:A27"/>
    <mergeCell ref="A32:A33"/>
    <mergeCell ref="B32:B33"/>
    <mergeCell ref="C32:C33"/>
    <mergeCell ref="D33:E33"/>
    <mergeCell ref="F33:G33"/>
    <mergeCell ref="D27:E27"/>
    <mergeCell ref="F27:G27"/>
    <mergeCell ref="D29:E29"/>
    <mergeCell ref="F21:G21"/>
    <mergeCell ref="D23:E23"/>
    <mergeCell ref="F23:G23"/>
    <mergeCell ref="F31:G31"/>
    <mergeCell ref="D25:E25"/>
    <mergeCell ref="A10:A19"/>
    <mergeCell ref="B28:B29"/>
    <mergeCell ref="B30:B31"/>
    <mergeCell ref="C28:C29"/>
    <mergeCell ref="C30:C31"/>
    <mergeCell ref="A28:A31"/>
    <mergeCell ref="B26:B27"/>
    <mergeCell ref="C26:C27"/>
    <mergeCell ref="B22:B23"/>
    <mergeCell ref="C22:C23"/>
    <mergeCell ref="B24:B25"/>
    <mergeCell ref="C24:C25"/>
    <mergeCell ref="F45:G45"/>
    <mergeCell ref="B34:B35"/>
    <mergeCell ref="C34:C35"/>
    <mergeCell ref="D35:E35"/>
    <mergeCell ref="F35:G35"/>
    <mergeCell ref="F43:G43"/>
    <mergeCell ref="B38:B39"/>
    <mergeCell ref="C38:C39"/>
    <mergeCell ref="D39:E39"/>
    <mergeCell ref="F39:G39"/>
    <mergeCell ref="B40:B41"/>
    <mergeCell ref="C40:C41"/>
    <mergeCell ref="D41:E41"/>
    <mergeCell ref="F41:G41"/>
    <mergeCell ref="B36:B37"/>
    <mergeCell ref="C36:C37"/>
    <mergeCell ref="A38:A41"/>
    <mergeCell ref="A42:A45"/>
    <mergeCell ref="B42:B43"/>
    <mergeCell ref="C42:C43"/>
    <mergeCell ref="D43:E43"/>
    <mergeCell ref="B44:B45"/>
    <mergeCell ref="C44:C45"/>
    <mergeCell ref="D45:E45"/>
    <mergeCell ref="J3:K3"/>
    <mergeCell ref="L3:M3"/>
    <mergeCell ref="N3:O3"/>
    <mergeCell ref="D31:E31"/>
    <mergeCell ref="B20:B21"/>
    <mergeCell ref="C20:C21"/>
    <mergeCell ref="D21:E21"/>
    <mergeCell ref="B10:B11"/>
    <mergeCell ref="C10:C11"/>
    <mergeCell ref="B16:B17"/>
    <mergeCell ref="C16:C17"/>
    <mergeCell ref="F25:G25"/>
    <mergeCell ref="B18:B19"/>
    <mergeCell ref="C18:C19"/>
    <mergeCell ref="B6:B7"/>
    <mergeCell ref="C6:C7"/>
    <mergeCell ref="D37:E37"/>
    <mergeCell ref="F37:G37"/>
    <mergeCell ref="A34:A37"/>
    <mergeCell ref="P3:Q3"/>
    <mergeCell ref="P33:Q33"/>
    <mergeCell ref="B8:B9"/>
    <mergeCell ref="C8:C9"/>
    <mergeCell ref="A6:A9"/>
    <mergeCell ref="B12:B13"/>
    <mergeCell ref="C12:C13"/>
    <mergeCell ref="B14:B15"/>
    <mergeCell ref="C14:C15"/>
    <mergeCell ref="P21:Q21"/>
    <mergeCell ref="D3:E3"/>
    <mergeCell ref="F3:G3"/>
    <mergeCell ref="H3:I3"/>
  </mergeCells>
  <phoneticPr fontId="2"/>
  <conditionalFormatting sqref="P45 N45 L45 J45 J43 L43 N43 P43 P41 N41 L41 J41 J39 L39 N39 P39 P37 N37 L37 J37 J35 L35 N35 P35 L33 J33 J31 L31 N31 P31 P29 N29 L29 J29 J27 L27 N27 P27 P25 N25 L25 J25 J23 L23 N23 P23 N21 L21 J21 F19 H19 J19 L19 N19 P19 P17 N17 L17 J17 H17 F17 F15 H15 J15 L15 N15 P15 P13 N13 L13 J13 H13 F13 F11 H11 J11 L11 N11 P11 P9 N9 L9 J9 H9 F9 P7 N7 L7 J7 H7 F7">
    <cfRule type="cellIs" dxfId="9" priority="1" operator="lessThan">
      <formula>1</formula>
    </cfRule>
    <cfRule type="cellIs" dxfId="8" priority="2" operator="greaterThanOrEqual">
      <formula>1</formula>
    </cfRule>
  </conditionalFormatting>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2AB8B-B4C9-4367-AC6E-47557F5D77C2}">
  <dimension ref="A2:Q52"/>
  <sheetViews>
    <sheetView showGridLines="0" topLeftCell="A7" zoomScale="80" zoomScaleNormal="80" workbookViewId="0">
      <selection activeCell="T30" sqref="T30"/>
    </sheetView>
  </sheetViews>
  <sheetFormatPr defaultRowHeight="18.75" x14ac:dyDescent="0.15"/>
  <cols>
    <col min="1" max="1" width="26.75" style="1" customWidth="1"/>
    <col min="2" max="2" width="29.125" style="2" customWidth="1"/>
    <col min="3" max="3" width="8.625" style="2" customWidth="1"/>
    <col min="4" max="4" width="9.75" style="1" customWidth="1"/>
    <col min="5" max="5" width="7.5" style="1" bestFit="1" customWidth="1"/>
    <col min="6" max="6" width="9.625" style="1" bestFit="1" customWidth="1"/>
    <col min="7" max="7" width="7.5" style="1" bestFit="1" customWidth="1"/>
    <col min="8" max="8" width="9.625" style="1" bestFit="1" customWidth="1"/>
    <col min="9" max="9" width="7.5" style="1" bestFit="1" customWidth="1"/>
    <col min="10" max="10" width="9.625" style="1" bestFit="1" customWidth="1"/>
    <col min="11" max="11" width="7.5" style="1" bestFit="1" customWidth="1"/>
    <col min="12" max="12" width="9.625" style="1" bestFit="1" customWidth="1"/>
    <col min="13" max="13" width="7.5" style="1" bestFit="1" customWidth="1"/>
    <col min="14" max="14" width="9.625" style="1" bestFit="1" customWidth="1"/>
    <col min="15" max="15" width="7.5" style="1" bestFit="1" customWidth="1"/>
    <col min="16" max="16" width="9" style="48"/>
    <col min="17" max="17" width="7.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22.5" x14ac:dyDescent="0.15">
      <c r="A6" s="139" t="s">
        <v>1</v>
      </c>
      <c r="B6" s="141" t="s">
        <v>250</v>
      </c>
      <c r="C6" s="142" t="s">
        <v>38</v>
      </c>
      <c r="D6" s="25">
        <v>169</v>
      </c>
      <c r="E6" s="50">
        <v>1</v>
      </c>
      <c r="F6" s="25">
        <v>180</v>
      </c>
      <c r="G6" s="50">
        <v>1</v>
      </c>
      <c r="H6" s="25">
        <v>214</v>
      </c>
      <c r="I6" s="50">
        <v>0</v>
      </c>
      <c r="J6" s="25">
        <v>201</v>
      </c>
      <c r="K6" s="50">
        <v>0</v>
      </c>
      <c r="L6" s="25">
        <v>162</v>
      </c>
      <c r="M6" s="50">
        <v>0</v>
      </c>
      <c r="N6" s="25">
        <v>138</v>
      </c>
      <c r="O6" s="50">
        <v>0</v>
      </c>
      <c r="P6" s="30">
        <v>133</v>
      </c>
      <c r="Q6" s="60">
        <v>1</v>
      </c>
    </row>
    <row r="7" spans="1:17" ht="19.5" thickBot="1" x14ac:dyDescent="0.2">
      <c r="A7" s="131"/>
      <c r="B7" s="112"/>
      <c r="C7" s="143"/>
      <c r="D7" s="24"/>
      <c r="E7" s="51">
        <f>E6/D6</f>
        <v>5.9171597633136093E-3</v>
      </c>
      <c r="F7" s="16">
        <f>F6/D6</f>
        <v>1.0650887573964498</v>
      </c>
      <c r="G7" s="57">
        <f>G6/F6</f>
        <v>5.5555555555555558E-3</v>
      </c>
      <c r="H7" s="16">
        <f>H6/F6</f>
        <v>1.1888888888888889</v>
      </c>
      <c r="I7" s="57">
        <f>I6/H6</f>
        <v>0</v>
      </c>
      <c r="J7" s="16">
        <f>J6/H6</f>
        <v>0.93925233644859818</v>
      </c>
      <c r="K7" s="57">
        <f>K6/J6</f>
        <v>0</v>
      </c>
      <c r="L7" s="16">
        <f>L6/J6</f>
        <v>0.80597014925373134</v>
      </c>
      <c r="M7" s="57">
        <f>M6/L6</f>
        <v>0</v>
      </c>
      <c r="N7" s="16">
        <f>N6/L6</f>
        <v>0.85185185185185186</v>
      </c>
      <c r="O7" s="57">
        <f>O6/N6</f>
        <v>0</v>
      </c>
      <c r="P7" s="16">
        <f>P6/N6</f>
        <v>0.96376811594202894</v>
      </c>
      <c r="Q7" s="57">
        <f>Q6/P6</f>
        <v>7.5187969924812026E-3</v>
      </c>
    </row>
    <row r="8" spans="1:17" ht="22.5" x14ac:dyDescent="0.15">
      <c r="A8" s="131"/>
      <c r="B8" s="156" t="s">
        <v>251</v>
      </c>
      <c r="C8" s="142" t="s">
        <v>38</v>
      </c>
      <c r="D8" s="25">
        <v>157</v>
      </c>
      <c r="E8" s="50">
        <v>1</v>
      </c>
      <c r="F8" s="25">
        <v>183</v>
      </c>
      <c r="G8" s="50">
        <v>1</v>
      </c>
      <c r="H8" s="25">
        <v>200</v>
      </c>
      <c r="I8" s="50">
        <v>0</v>
      </c>
      <c r="J8" s="25">
        <v>180</v>
      </c>
      <c r="K8" s="50">
        <v>0</v>
      </c>
      <c r="L8" s="25">
        <v>163</v>
      </c>
      <c r="M8" s="50">
        <v>0</v>
      </c>
      <c r="N8" s="25">
        <v>125</v>
      </c>
      <c r="O8" s="50">
        <v>1</v>
      </c>
      <c r="P8" s="31">
        <v>116</v>
      </c>
      <c r="Q8" s="61">
        <v>1</v>
      </c>
    </row>
    <row r="9" spans="1:17" ht="19.5" thickBot="1" x14ac:dyDescent="0.2">
      <c r="A9" s="131"/>
      <c r="B9" s="157"/>
      <c r="C9" s="143"/>
      <c r="D9" s="24"/>
      <c r="E9" s="51">
        <f>E8/D8</f>
        <v>6.369426751592357E-3</v>
      </c>
      <c r="F9" s="16">
        <f>F8/D8</f>
        <v>1.1656050955414012</v>
      </c>
      <c r="G9" s="57">
        <f>G8/F8</f>
        <v>5.4644808743169399E-3</v>
      </c>
      <c r="H9" s="16">
        <f>H8/F8</f>
        <v>1.0928961748633881</v>
      </c>
      <c r="I9" s="57">
        <f>I8/H8</f>
        <v>0</v>
      </c>
      <c r="J9" s="16">
        <f>J8/H8</f>
        <v>0.9</v>
      </c>
      <c r="K9" s="57">
        <f>K8/J8</f>
        <v>0</v>
      </c>
      <c r="L9" s="16">
        <f>L8/J8</f>
        <v>0.90555555555555556</v>
      </c>
      <c r="M9" s="57">
        <f>M8/L8</f>
        <v>0</v>
      </c>
      <c r="N9" s="16">
        <f>N8/L8</f>
        <v>0.76687116564417179</v>
      </c>
      <c r="O9" s="57">
        <f>O8/N8</f>
        <v>8.0000000000000002E-3</v>
      </c>
      <c r="P9" s="16">
        <f>P8/N8</f>
        <v>0.92800000000000005</v>
      </c>
      <c r="Q9" s="57">
        <f>Q8/P8</f>
        <v>8.6206896551724137E-3</v>
      </c>
    </row>
    <row r="10" spans="1:17" ht="18.75" customHeight="1" x14ac:dyDescent="0.15">
      <c r="A10" s="131"/>
      <c r="B10" s="141" t="s">
        <v>252</v>
      </c>
      <c r="C10" s="142" t="s">
        <v>21</v>
      </c>
      <c r="D10" s="25">
        <v>88</v>
      </c>
      <c r="E10" s="50">
        <v>0</v>
      </c>
      <c r="F10" s="25">
        <v>99</v>
      </c>
      <c r="G10" s="50">
        <v>0</v>
      </c>
      <c r="H10" s="25">
        <v>113</v>
      </c>
      <c r="I10" s="50">
        <v>2</v>
      </c>
      <c r="J10" s="25">
        <v>81</v>
      </c>
      <c r="K10" s="50">
        <v>2</v>
      </c>
      <c r="L10" s="25">
        <v>77</v>
      </c>
      <c r="M10" s="50">
        <v>1</v>
      </c>
      <c r="N10" s="25">
        <v>93</v>
      </c>
      <c r="O10" s="50">
        <v>0</v>
      </c>
      <c r="P10" s="31">
        <v>77</v>
      </c>
      <c r="Q10" s="61">
        <v>1</v>
      </c>
    </row>
    <row r="11" spans="1:17" ht="19.5" thickBot="1" x14ac:dyDescent="0.2">
      <c r="A11" s="131"/>
      <c r="B11" s="112"/>
      <c r="C11" s="143"/>
      <c r="D11" s="24"/>
      <c r="E11" s="51">
        <f>E10/D10</f>
        <v>0</v>
      </c>
      <c r="F11" s="16">
        <f>F10/D10</f>
        <v>1.125</v>
      </c>
      <c r="G11" s="57">
        <f>G10/F10</f>
        <v>0</v>
      </c>
      <c r="H11" s="16">
        <f>H10/F10</f>
        <v>1.1414141414141414</v>
      </c>
      <c r="I11" s="57">
        <f>I10/H10</f>
        <v>1.7699115044247787E-2</v>
      </c>
      <c r="J11" s="16">
        <f>J10/H10</f>
        <v>0.7168141592920354</v>
      </c>
      <c r="K11" s="57">
        <f>K10/J10</f>
        <v>2.4691358024691357E-2</v>
      </c>
      <c r="L11" s="16">
        <f>L10/J10</f>
        <v>0.95061728395061729</v>
      </c>
      <c r="M11" s="57">
        <f>M10/L10</f>
        <v>1.2987012987012988E-2</v>
      </c>
      <c r="N11" s="16">
        <f>N10/L10</f>
        <v>1.2077922077922079</v>
      </c>
      <c r="O11" s="57">
        <f>O10/N10</f>
        <v>0</v>
      </c>
      <c r="P11" s="16">
        <f>P10/N10</f>
        <v>0.82795698924731187</v>
      </c>
      <c r="Q11" s="57">
        <f>Q10/P10</f>
        <v>1.2987012987012988E-2</v>
      </c>
    </row>
    <row r="12" spans="1:17" ht="18.75" customHeight="1" x14ac:dyDescent="0.15">
      <c r="A12" s="131"/>
      <c r="B12" s="141" t="s">
        <v>253</v>
      </c>
      <c r="C12" s="142" t="s">
        <v>21</v>
      </c>
      <c r="D12" s="25">
        <v>176</v>
      </c>
      <c r="E12" s="50">
        <v>0</v>
      </c>
      <c r="F12" s="25">
        <v>177</v>
      </c>
      <c r="G12" s="50">
        <v>0</v>
      </c>
      <c r="H12" s="25">
        <v>159</v>
      </c>
      <c r="I12" s="50">
        <v>2</v>
      </c>
      <c r="J12" s="25">
        <v>126</v>
      </c>
      <c r="K12" s="50">
        <v>3</v>
      </c>
      <c r="L12" s="25">
        <v>105</v>
      </c>
      <c r="M12" s="50">
        <v>3</v>
      </c>
      <c r="N12" s="25">
        <v>82</v>
      </c>
      <c r="O12" s="50">
        <v>0</v>
      </c>
      <c r="P12" s="31">
        <v>101</v>
      </c>
      <c r="Q12" s="61">
        <v>3</v>
      </c>
    </row>
    <row r="13" spans="1:17" ht="19.5" thickBot="1" x14ac:dyDescent="0.2">
      <c r="A13" s="140"/>
      <c r="B13" s="112"/>
      <c r="C13" s="143"/>
      <c r="D13" s="24"/>
      <c r="E13" s="51">
        <f>E12/D12</f>
        <v>0</v>
      </c>
      <c r="F13" s="16">
        <f>F12/D12</f>
        <v>1.0056818181818181</v>
      </c>
      <c r="G13" s="57">
        <f>G12/F12</f>
        <v>0</v>
      </c>
      <c r="H13" s="16">
        <f>H12/F12</f>
        <v>0.89830508474576276</v>
      </c>
      <c r="I13" s="57">
        <f>I12/H12</f>
        <v>1.2578616352201259E-2</v>
      </c>
      <c r="J13" s="16">
        <f>J12/H12</f>
        <v>0.79245283018867929</v>
      </c>
      <c r="K13" s="57">
        <f>K12/J12</f>
        <v>2.3809523809523808E-2</v>
      </c>
      <c r="L13" s="16">
        <f>L12/J12</f>
        <v>0.83333333333333337</v>
      </c>
      <c r="M13" s="57">
        <f>M12/L12</f>
        <v>2.8571428571428571E-2</v>
      </c>
      <c r="N13" s="16">
        <f>N12/L12</f>
        <v>0.78095238095238095</v>
      </c>
      <c r="O13" s="57">
        <f>O12/N12</f>
        <v>0</v>
      </c>
      <c r="P13" s="16">
        <f>P12/N12</f>
        <v>1.2317073170731707</v>
      </c>
      <c r="Q13" s="57">
        <f>Q12/P12</f>
        <v>2.9702970297029702E-2</v>
      </c>
    </row>
    <row r="14" spans="1:17" ht="19.5" customHeight="1" x14ac:dyDescent="0.15">
      <c r="A14" s="120" t="s">
        <v>254</v>
      </c>
      <c r="B14" s="106" t="s">
        <v>252</v>
      </c>
      <c r="C14" s="118" t="s">
        <v>38</v>
      </c>
      <c r="D14" s="35"/>
      <c r="E14" s="54"/>
      <c r="F14" s="35"/>
      <c r="G14" s="54"/>
      <c r="H14" s="26">
        <v>179</v>
      </c>
      <c r="I14" s="52">
        <v>0</v>
      </c>
      <c r="J14" s="26">
        <v>124</v>
      </c>
      <c r="K14" s="52">
        <v>0</v>
      </c>
      <c r="L14" s="26">
        <v>143</v>
      </c>
      <c r="M14" s="52">
        <v>0</v>
      </c>
      <c r="N14" s="26">
        <v>134</v>
      </c>
      <c r="O14" s="52">
        <v>0</v>
      </c>
      <c r="P14" s="28">
        <v>101</v>
      </c>
      <c r="Q14" s="62">
        <v>0</v>
      </c>
    </row>
    <row r="15" spans="1:17" ht="19.5" thickBot="1" x14ac:dyDescent="0.2">
      <c r="A15" s="121"/>
      <c r="B15" s="107"/>
      <c r="C15" s="119"/>
      <c r="D15" s="102"/>
      <c r="E15" s="103"/>
      <c r="F15" s="102"/>
      <c r="G15" s="103"/>
      <c r="H15" s="19"/>
      <c r="I15" s="53">
        <f>I14/H14</f>
        <v>0</v>
      </c>
      <c r="J15" s="47">
        <f>J14/H14</f>
        <v>0.69273743016759781</v>
      </c>
      <c r="K15" s="53">
        <f>K14/J14</f>
        <v>0</v>
      </c>
      <c r="L15" s="47">
        <f>L14/J14</f>
        <v>1.153225806451613</v>
      </c>
      <c r="M15" s="53">
        <f>M14/L14</f>
        <v>0</v>
      </c>
      <c r="N15" s="47">
        <f>N14/L14</f>
        <v>0.93706293706293708</v>
      </c>
      <c r="O15" s="53">
        <f>O14/N14</f>
        <v>0</v>
      </c>
      <c r="P15" s="47">
        <f>P14/N14</f>
        <v>0.75373134328358204</v>
      </c>
      <c r="Q15" s="63">
        <f>Q14/P14</f>
        <v>0</v>
      </c>
    </row>
    <row r="16" spans="1:17" ht="22.5" x14ac:dyDescent="0.15">
      <c r="A16" s="121"/>
      <c r="B16" s="108" t="s">
        <v>314</v>
      </c>
      <c r="C16" s="118" t="s">
        <v>21</v>
      </c>
      <c r="D16" s="35"/>
      <c r="E16" s="54"/>
      <c r="F16" s="35"/>
      <c r="G16" s="54"/>
      <c r="H16" s="26">
        <v>59</v>
      </c>
      <c r="I16" s="52">
        <v>1</v>
      </c>
      <c r="J16" s="26">
        <v>63</v>
      </c>
      <c r="K16" s="52">
        <v>0</v>
      </c>
      <c r="L16" s="26">
        <v>80</v>
      </c>
      <c r="M16" s="52">
        <v>0</v>
      </c>
      <c r="N16" s="26">
        <v>88</v>
      </c>
      <c r="O16" s="52">
        <v>1</v>
      </c>
      <c r="P16" s="28">
        <v>82</v>
      </c>
      <c r="Q16" s="62">
        <v>0</v>
      </c>
    </row>
    <row r="17" spans="1:17" ht="19.5" thickBot="1" x14ac:dyDescent="0.2">
      <c r="A17" s="121"/>
      <c r="B17" s="107"/>
      <c r="C17" s="119"/>
      <c r="D17" s="102"/>
      <c r="E17" s="103"/>
      <c r="F17" s="102"/>
      <c r="G17" s="103"/>
      <c r="H17" s="19"/>
      <c r="I17" s="53">
        <f>I16/H16</f>
        <v>1.6949152542372881E-2</v>
      </c>
      <c r="J17" s="47">
        <f>J16/H16</f>
        <v>1.0677966101694916</v>
      </c>
      <c r="K17" s="53">
        <f>K16/J16</f>
        <v>0</v>
      </c>
      <c r="L17" s="47">
        <f>L16/J16</f>
        <v>1.2698412698412698</v>
      </c>
      <c r="M17" s="53">
        <f>M16/L16</f>
        <v>0</v>
      </c>
      <c r="N17" s="47">
        <f>N16/L16</f>
        <v>1.1000000000000001</v>
      </c>
      <c r="O17" s="53">
        <f>O16/N16</f>
        <v>1.1363636363636364E-2</v>
      </c>
      <c r="P17" s="47">
        <f>P16/N16</f>
        <v>0.93181818181818177</v>
      </c>
      <c r="Q17" s="63">
        <f>Q16/P16</f>
        <v>0</v>
      </c>
    </row>
    <row r="18" spans="1:17" ht="22.5" x14ac:dyDescent="0.15">
      <c r="A18" s="121"/>
      <c r="B18" s="108" t="s">
        <v>315</v>
      </c>
      <c r="C18" s="118" t="s">
        <v>21</v>
      </c>
      <c r="D18" s="35"/>
      <c r="E18" s="54"/>
      <c r="F18" s="35"/>
      <c r="G18" s="54"/>
      <c r="H18" s="35"/>
      <c r="I18" s="54"/>
      <c r="J18" s="35"/>
      <c r="K18" s="54"/>
      <c r="L18" s="26">
        <v>39</v>
      </c>
      <c r="M18" s="52">
        <v>0</v>
      </c>
      <c r="N18" s="26">
        <v>59</v>
      </c>
      <c r="O18" s="52">
        <v>0</v>
      </c>
      <c r="P18" s="28">
        <v>68</v>
      </c>
      <c r="Q18" s="62">
        <v>0</v>
      </c>
    </row>
    <row r="19" spans="1:17" ht="19.5" thickBot="1" x14ac:dyDescent="0.2">
      <c r="A19" s="121"/>
      <c r="B19" s="107"/>
      <c r="C19" s="119"/>
      <c r="D19" s="102"/>
      <c r="E19" s="103"/>
      <c r="F19" s="102"/>
      <c r="G19" s="103"/>
      <c r="H19" s="102"/>
      <c r="I19" s="103"/>
      <c r="J19" s="102"/>
      <c r="K19" s="103"/>
      <c r="L19" s="19"/>
      <c r="M19" s="53">
        <f>M18/L18</f>
        <v>0</v>
      </c>
      <c r="N19" s="47">
        <f>N18/L18</f>
        <v>1.5128205128205128</v>
      </c>
      <c r="O19" s="53">
        <f>O18/N18</f>
        <v>0</v>
      </c>
      <c r="P19" s="47">
        <f>P18/N18</f>
        <v>1.152542372881356</v>
      </c>
      <c r="Q19" s="63">
        <f>Q18/P18</f>
        <v>0</v>
      </c>
    </row>
    <row r="20" spans="1:17" ht="19.5" customHeight="1" x14ac:dyDescent="0.15">
      <c r="A20" s="121"/>
      <c r="B20" s="108" t="s">
        <v>316</v>
      </c>
      <c r="C20" s="118" t="s">
        <v>21</v>
      </c>
      <c r="D20" s="35"/>
      <c r="E20" s="54"/>
      <c r="F20" s="35"/>
      <c r="G20" s="54"/>
      <c r="H20" s="26">
        <v>87</v>
      </c>
      <c r="I20" s="52">
        <v>6</v>
      </c>
      <c r="J20" s="26">
        <v>99</v>
      </c>
      <c r="K20" s="52">
        <v>4</v>
      </c>
      <c r="L20" s="26">
        <v>102</v>
      </c>
      <c r="M20" s="52">
        <v>2</v>
      </c>
      <c r="N20" s="26">
        <v>88</v>
      </c>
      <c r="O20" s="52">
        <v>1</v>
      </c>
      <c r="P20" s="28">
        <v>86</v>
      </c>
      <c r="Q20" s="62">
        <v>2</v>
      </c>
    </row>
    <row r="21" spans="1:17" ht="19.5" thickBot="1" x14ac:dyDescent="0.2">
      <c r="A21" s="121"/>
      <c r="B21" s="107"/>
      <c r="C21" s="119"/>
      <c r="D21" s="102"/>
      <c r="E21" s="103"/>
      <c r="F21" s="102"/>
      <c r="G21" s="103"/>
      <c r="H21" s="19"/>
      <c r="I21" s="53">
        <f>I20/H20</f>
        <v>6.8965517241379309E-2</v>
      </c>
      <c r="J21" s="47">
        <f>J20/H20</f>
        <v>1.1379310344827587</v>
      </c>
      <c r="K21" s="53">
        <f>K20/J20</f>
        <v>4.0404040404040407E-2</v>
      </c>
      <c r="L21" s="47">
        <f>L20/J20</f>
        <v>1.0303030303030303</v>
      </c>
      <c r="M21" s="53">
        <f>M20/L20</f>
        <v>1.9607843137254902E-2</v>
      </c>
      <c r="N21" s="47">
        <f>N20/L20</f>
        <v>0.86274509803921573</v>
      </c>
      <c r="O21" s="53">
        <f>O20/N20</f>
        <v>1.1363636363636364E-2</v>
      </c>
      <c r="P21" s="47">
        <f>P20/N20</f>
        <v>0.97727272727272729</v>
      </c>
      <c r="Q21" s="63">
        <f>Q20/P20</f>
        <v>2.3255813953488372E-2</v>
      </c>
    </row>
    <row r="22" spans="1:17" ht="19.5" customHeight="1" x14ac:dyDescent="0.15">
      <c r="A22" s="121"/>
      <c r="B22" s="106" t="s">
        <v>317</v>
      </c>
      <c r="C22" s="118" t="s">
        <v>14</v>
      </c>
      <c r="D22" s="35"/>
      <c r="E22" s="54"/>
      <c r="F22" s="35"/>
      <c r="G22" s="54"/>
      <c r="H22" s="26">
        <v>23</v>
      </c>
      <c r="I22" s="52">
        <v>1</v>
      </c>
      <c r="J22" s="26">
        <v>56</v>
      </c>
      <c r="K22" s="52">
        <v>2</v>
      </c>
      <c r="L22" s="26">
        <v>79</v>
      </c>
      <c r="M22" s="52">
        <v>2</v>
      </c>
      <c r="N22" s="26">
        <v>129</v>
      </c>
      <c r="O22" s="52">
        <v>2</v>
      </c>
      <c r="P22" s="28">
        <v>141</v>
      </c>
      <c r="Q22" s="62">
        <v>3</v>
      </c>
    </row>
    <row r="23" spans="1:17" ht="19.5" thickBot="1" x14ac:dyDescent="0.2">
      <c r="A23" s="121"/>
      <c r="B23" s="107"/>
      <c r="C23" s="119"/>
      <c r="D23" s="102"/>
      <c r="E23" s="103"/>
      <c r="F23" s="102"/>
      <c r="G23" s="103"/>
      <c r="H23" s="19"/>
      <c r="I23" s="53">
        <f>I22/H22</f>
        <v>4.3478260869565216E-2</v>
      </c>
      <c r="J23" s="47">
        <f>J22/H22</f>
        <v>2.4347826086956523</v>
      </c>
      <c r="K23" s="53">
        <f>K22/J22</f>
        <v>3.5714285714285712E-2</v>
      </c>
      <c r="L23" s="47">
        <f>L22/J22</f>
        <v>1.4107142857142858</v>
      </c>
      <c r="M23" s="53">
        <f>M22/L22</f>
        <v>2.5316455696202531E-2</v>
      </c>
      <c r="N23" s="47">
        <f>N22/L22</f>
        <v>1.6329113924050633</v>
      </c>
      <c r="O23" s="53">
        <f>O22/N22</f>
        <v>1.5503875968992248E-2</v>
      </c>
      <c r="P23" s="47">
        <f>P22/N22</f>
        <v>1.0930232558139534</v>
      </c>
      <c r="Q23" s="63">
        <f>Q22/P22</f>
        <v>2.1276595744680851E-2</v>
      </c>
    </row>
    <row r="24" spans="1:17" ht="22.5" x14ac:dyDescent="0.15">
      <c r="A24" s="121"/>
      <c r="B24" s="106" t="s">
        <v>259</v>
      </c>
      <c r="C24" s="118" t="s">
        <v>21</v>
      </c>
      <c r="D24" s="35"/>
      <c r="E24" s="54"/>
      <c r="F24" s="35"/>
      <c r="G24" s="54"/>
      <c r="H24" s="26">
        <v>143</v>
      </c>
      <c r="I24" s="52">
        <v>5</v>
      </c>
      <c r="J24" s="26">
        <v>171</v>
      </c>
      <c r="K24" s="52">
        <v>4</v>
      </c>
      <c r="L24" s="26">
        <v>201</v>
      </c>
      <c r="M24" s="52">
        <v>1</v>
      </c>
      <c r="N24" s="26">
        <v>188</v>
      </c>
      <c r="O24" s="52">
        <v>2</v>
      </c>
      <c r="P24" s="28">
        <v>181</v>
      </c>
      <c r="Q24" s="62">
        <v>3</v>
      </c>
    </row>
    <row r="25" spans="1:17" ht="19.5" thickBot="1" x14ac:dyDescent="0.2">
      <c r="A25" s="122"/>
      <c r="B25" s="107"/>
      <c r="C25" s="119"/>
      <c r="D25" s="102"/>
      <c r="E25" s="103"/>
      <c r="F25" s="102"/>
      <c r="G25" s="103"/>
      <c r="H25" s="19"/>
      <c r="I25" s="53">
        <f>I24/H24</f>
        <v>3.4965034965034968E-2</v>
      </c>
      <c r="J25" s="47">
        <f>J24/H24</f>
        <v>1.1958041958041958</v>
      </c>
      <c r="K25" s="53">
        <f>K24/J24</f>
        <v>2.3391812865497075E-2</v>
      </c>
      <c r="L25" s="47">
        <f>L24/J24</f>
        <v>1.1754385964912282</v>
      </c>
      <c r="M25" s="53">
        <f>M24/L24</f>
        <v>4.9751243781094526E-3</v>
      </c>
      <c r="N25" s="47">
        <f>N24/L24</f>
        <v>0.93532338308457708</v>
      </c>
      <c r="O25" s="53">
        <f>O24/N24</f>
        <v>1.0638297872340425E-2</v>
      </c>
      <c r="P25" s="47">
        <f>P24/N24</f>
        <v>0.96276595744680848</v>
      </c>
      <c r="Q25" s="63">
        <f>Q24/P24</f>
        <v>1.6574585635359115E-2</v>
      </c>
    </row>
    <row r="26" spans="1:17" ht="19.5" customHeight="1" x14ac:dyDescent="0.15">
      <c r="A26" s="120" t="s">
        <v>255</v>
      </c>
      <c r="B26" s="106" t="s">
        <v>257</v>
      </c>
      <c r="C26" s="118" t="s">
        <v>38</v>
      </c>
      <c r="D26" s="26">
        <v>102</v>
      </c>
      <c r="E26" s="52">
        <v>0</v>
      </c>
      <c r="F26" s="26">
        <v>97</v>
      </c>
      <c r="G26" s="52">
        <v>0</v>
      </c>
      <c r="H26" s="26">
        <v>105</v>
      </c>
      <c r="I26" s="52">
        <v>0</v>
      </c>
      <c r="J26" s="26">
        <v>101</v>
      </c>
      <c r="K26" s="52">
        <v>1</v>
      </c>
      <c r="L26" s="26">
        <v>102</v>
      </c>
      <c r="M26" s="52">
        <v>0</v>
      </c>
      <c r="N26" s="26">
        <v>104</v>
      </c>
      <c r="O26" s="52">
        <v>0</v>
      </c>
      <c r="P26" s="28">
        <v>120</v>
      </c>
      <c r="Q26" s="62">
        <v>0</v>
      </c>
    </row>
    <row r="27" spans="1:17" ht="19.5" thickBot="1" x14ac:dyDescent="0.2">
      <c r="A27" s="123"/>
      <c r="B27" s="107"/>
      <c r="C27" s="119"/>
      <c r="D27" s="19"/>
      <c r="E27" s="53">
        <f>E26/D26</f>
        <v>0</v>
      </c>
      <c r="F27" s="47">
        <f>F26/D26</f>
        <v>0.9509803921568627</v>
      </c>
      <c r="G27" s="53">
        <f>G26/F26</f>
        <v>0</v>
      </c>
      <c r="H27" s="47">
        <f>H26/F26</f>
        <v>1.0824742268041236</v>
      </c>
      <c r="I27" s="53">
        <f>I26/H26</f>
        <v>0</v>
      </c>
      <c r="J27" s="47">
        <f>J26/H26</f>
        <v>0.96190476190476193</v>
      </c>
      <c r="K27" s="53">
        <f>K26/J26</f>
        <v>9.9009900990099011E-3</v>
      </c>
      <c r="L27" s="47">
        <f>L26/J26</f>
        <v>1.0099009900990099</v>
      </c>
      <c r="M27" s="53">
        <f>M26/L26</f>
        <v>0</v>
      </c>
      <c r="N27" s="47">
        <f>N26/L26</f>
        <v>1.0196078431372548</v>
      </c>
      <c r="O27" s="53">
        <f>O26/N26</f>
        <v>0</v>
      </c>
      <c r="P27" s="47">
        <f>P26/N26</f>
        <v>1.1538461538461537</v>
      </c>
      <c r="Q27" s="63">
        <f>Q26/P26</f>
        <v>0</v>
      </c>
    </row>
    <row r="28" spans="1:17" ht="22.5" x14ac:dyDescent="0.15">
      <c r="A28" s="123"/>
      <c r="B28" s="106" t="s">
        <v>252</v>
      </c>
      <c r="C28" s="118" t="s">
        <v>21</v>
      </c>
      <c r="D28" s="26">
        <v>355</v>
      </c>
      <c r="E28" s="52">
        <v>2</v>
      </c>
      <c r="F28" s="26">
        <v>405</v>
      </c>
      <c r="G28" s="52">
        <v>5</v>
      </c>
      <c r="H28" s="26">
        <v>348</v>
      </c>
      <c r="I28" s="52">
        <v>1</v>
      </c>
      <c r="J28" s="26">
        <v>277</v>
      </c>
      <c r="K28" s="52">
        <v>0</v>
      </c>
      <c r="L28" s="26">
        <v>258</v>
      </c>
      <c r="M28" s="52">
        <v>1</v>
      </c>
      <c r="N28" s="26">
        <v>245</v>
      </c>
      <c r="O28" s="52">
        <v>10</v>
      </c>
      <c r="P28" s="28">
        <v>219</v>
      </c>
      <c r="Q28" s="62">
        <v>10</v>
      </c>
    </row>
    <row r="29" spans="1:17" ht="19.5" thickBot="1" x14ac:dyDescent="0.2">
      <c r="A29" s="123"/>
      <c r="B29" s="107"/>
      <c r="C29" s="119"/>
      <c r="D29" s="19"/>
      <c r="E29" s="53">
        <f>E28/D28</f>
        <v>5.6338028169014088E-3</v>
      </c>
      <c r="F29" s="47">
        <f>F28/D28</f>
        <v>1.1408450704225352</v>
      </c>
      <c r="G29" s="53">
        <f>G28/F28</f>
        <v>1.2345679012345678E-2</v>
      </c>
      <c r="H29" s="47">
        <f>H28/F28</f>
        <v>0.85925925925925928</v>
      </c>
      <c r="I29" s="53">
        <f>I28/H28</f>
        <v>2.8735632183908046E-3</v>
      </c>
      <c r="J29" s="47">
        <f>J28/H28</f>
        <v>0.79597701149425293</v>
      </c>
      <c r="K29" s="53">
        <f>K28/J28</f>
        <v>0</v>
      </c>
      <c r="L29" s="47">
        <f>L28/J28</f>
        <v>0.93140794223826717</v>
      </c>
      <c r="M29" s="53">
        <f>M28/L28</f>
        <v>3.875968992248062E-3</v>
      </c>
      <c r="N29" s="47">
        <f>N28/L28</f>
        <v>0.94961240310077522</v>
      </c>
      <c r="O29" s="53">
        <f>O28/N28</f>
        <v>4.0816326530612242E-2</v>
      </c>
      <c r="P29" s="47">
        <f>P28/N28</f>
        <v>0.89387755102040811</v>
      </c>
      <c r="Q29" s="63">
        <f>Q28/P28</f>
        <v>4.5662100456621002E-2</v>
      </c>
    </row>
    <row r="30" spans="1:17" ht="22.5" x14ac:dyDescent="0.15">
      <c r="A30" s="123"/>
      <c r="B30" s="106" t="s">
        <v>259</v>
      </c>
      <c r="C30" s="118" t="s">
        <v>21</v>
      </c>
      <c r="D30" s="35"/>
      <c r="E30" s="54"/>
      <c r="F30" s="28">
        <v>44</v>
      </c>
      <c r="G30" s="62">
        <v>0</v>
      </c>
      <c r="H30" s="28">
        <v>75</v>
      </c>
      <c r="I30" s="62">
        <v>0</v>
      </c>
      <c r="J30" s="28">
        <v>56</v>
      </c>
      <c r="K30" s="62">
        <v>0</v>
      </c>
      <c r="L30" s="28">
        <v>52</v>
      </c>
      <c r="M30" s="62">
        <v>0</v>
      </c>
      <c r="N30" s="28">
        <v>62</v>
      </c>
      <c r="O30" s="62">
        <v>0</v>
      </c>
      <c r="P30" s="28">
        <v>85</v>
      </c>
      <c r="Q30" s="62">
        <v>4</v>
      </c>
    </row>
    <row r="31" spans="1:17" ht="19.5" thickBot="1" x14ac:dyDescent="0.2">
      <c r="A31" s="123"/>
      <c r="B31" s="107"/>
      <c r="C31" s="119"/>
      <c r="D31" s="102"/>
      <c r="E31" s="103"/>
      <c r="F31" s="19"/>
      <c r="G31" s="53">
        <f>G30/F30</f>
        <v>0</v>
      </c>
      <c r="H31" s="47">
        <f>H30/F30</f>
        <v>1.7045454545454546</v>
      </c>
      <c r="I31" s="53">
        <f>I30/H30</f>
        <v>0</v>
      </c>
      <c r="J31" s="47">
        <f>J30/H30</f>
        <v>0.7466666666666667</v>
      </c>
      <c r="K31" s="53">
        <f>K30/J30</f>
        <v>0</v>
      </c>
      <c r="L31" s="47">
        <f>L30/J30</f>
        <v>0.9285714285714286</v>
      </c>
      <c r="M31" s="53">
        <f>M30/L30</f>
        <v>0</v>
      </c>
      <c r="N31" s="47">
        <f>N30/L30</f>
        <v>1.1923076923076923</v>
      </c>
      <c r="O31" s="53">
        <f>O30/N30</f>
        <v>0</v>
      </c>
      <c r="P31" s="47">
        <f>P30/N30</f>
        <v>1.3709677419354838</v>
      </c>
      <c r="Q31" s="63">
        <f>Q30/P30</f>
        <v>4.7058823529411764E-2</v>
      </c>
    </row>
    <row r="32" spans="1:17" ht="22.5" x14ac:dyDescent="0.15">
      <c r="A32" s="123"/>
      <c r="B32" s="106" t="s">
        <v>258</v>
      </c>
      <c r="C32" s="118" t="s">
        <v>21</v>
      </c>
      <c r="D32" s="29">
        <v>206</v>
      </c>
      <c r="E32" s="68">
        <v>2</v>
      </c>
      <c r="F32" s="29">
        <v>200</v>
      </c>
      <c r="G32" s="68">
        <v>1</v>
      </c>
      <c r="H32" s="29">
        <v>158</v>
      </c>
      <c r="I32" s="68">
        <v>1</v>
      </c>
      <c r="J32" s="29">
        <v>116</v>
      </c>
      <c r="K32" s="68">
        <v>2</v>
      </c>
      <c r="L32" s="29">
        <v>93</v>
      </c>
      <c r="M32" s="68">
        <v>3</v>
      </c>
      <c r="N32" s="29">
        <v>90</v>
      </c>
      <c r="O32" s="68">
        <v>1</v>
      </c>
      <c r="P32" s="28">
        <v>37</v>
      </c>
      <c r="Q32" s="62">
        <v>0</v>
      </c>
    </row>
    <row r="33" spans="1:17" ht="19.5" thickBot="1" x14ac:dyDescent="0.2">
      <c r="A33" s="123"/>
      <c r="B33" s="107"/>
      <c r="C33" s="119"/>
      <c r="D33" s="19"/>
      <c r="E33" s="53">
        <f>E32/D32</f>
        <v>9.7087378640776691E-3</v>
      </c>
      <c r="F33" s="47">
        <f>F32/D32</f>
        <v>0.970873786407767</v>
      </c>
      <c r="G33" s="53">
        <f>G32/F32</f>
        <v>5.0000000000000001E-3</v>
      </c>
      <c r="H33" s="47">
        <f>H32/F32</f>
        <v>0.79</v>
      </c>
      <c r="I33" s="53">
        <f>I32/H32</f>
        <v>6.3291139240506328E-3</v>
      </c>
      <c r="J33" s="47">
        <f>J32/H32</f>
        <v>0.73417721518987344</v>
      </c>
      <c r="K33" s="53">
        <f>K32/J32</f>
        <v>1.7241379310344827E-2</v>
      </c>
      <c r="L33" s="47">
        <f>L32/J32</f>
        <v>0.80172413793103448</v>
      </c>
      <c r="M33" s="53">
        <f>M32/L32</f>
        <v>3.2258064516129031E-2</v>
      </c>
      <c r="N33" s="47">
        <f>N32/L32</f>
        <v>0.967741935483871</v>
      </c>
      <c r="O33" s="53">
        <f>O32/N32</f>
        <v>1.1111111111111112E-2</v>
      </c>
      <c r="P33" s="47">
        <f>P32/N32</f>
        <v>0.41111111111111109</v>
      </c>
      <c r="Q33" s="63">
        <f>Q32/P32</f>
        <v>0</v>
      </c>
    </row>
    <row r="34" spans="1:17" ht="19.5" customHeight="1" x14ac:dyDescent="0.15">
      <c r="A34" s="123"/>
      <c r="B34" s="106" t="s">
        <v>260</v>
      </c>
      <c r="C34" s="118" t="s">
        <v>21</v>
      </c>
      <c r="D34" s="35"/>
      <c r="E34" s="54"/>
      <c r="F34" s="35"/>
      <c r="G34" s="54"/>
      <c r="H34" s="35"/>
      <c r="I34" s="54"/>
      <c r="J34" s="35"/>
      <c r="K34" s="54"/>
      <c r="L34" s="35"/>
      <c r="M34" s="54"/>
      <c r="N34" s="35"/>
      <c r="O34" s="54"/>
      <c r="P34" s="28">
        <v>43</v>
      </c>
      <c r="Q34" s="62">
        <v>1</v>
      </c>
    </row>
    <row r="35" spans="1:17" ht="19.5" thickBot="1" x14ac:dyDescent="0.2">
      <c r="A35" s="124"/>
      <c r="B35" s="107"/>
      <c r="C35" s="119"/>
      <c r="D35" s="102"/>
      <c r="E35" s="103"/>
      <c r="F35" s="102"/>
      <c r="G35" s="103"/>
      <c r="H35" s="102"/>
      <c r="I35" s="103"/>
      <c r="J35" s="102"/>
      <c r="K35" s="103"/>
      <c r="L35" s="102"/>
      <c r="M35" s="103"/>
      <c r="N35" s="102"/>
      <c r="O35" s="103"/>
      <c r="P35" s="19"/>
      <c r="Q35" s="63">
        <f>Q34/P34</f>
        <v>2.3255813953488372E-2</v>
      </c>
    </row>
    <row r="36" spans="1:17" ht="19.5" customHeight="1" x14ac:dyDescent="0.15">
      <c r="A36" s="120" t="s">
        <v>256</v>
      </c>
      <c r="B36" s="106" t="s">
        <v>257</v>
      </c>
      <c r="C36" s="118" t="s">
        <v>38</v>
      </c>
      <c r="D36" s="26">
        <v>74</v>
      </c>
      <c r="E36" s="52">
        <v>0</v>
      </c>
      <c r="F36" s="26">
        <v>104</v>
      </c>
      <c r="G36" s="52">
        <v>0</v>
      </c>
      <c r="H36" s="26">
        <v>128</v>
      </c>
      <c r="I36" s="52">
        <v>0</v>
      </c>
      <c r="J36" s="26">
        <v>136</v>
      </c>
      <c r="K36" s="52">
        <v>0</v>
      </c>
      <c r="L36" s="26">
        <v>119</v>
      </c>
      <c r="M36" s="52">
        <v>0</v>
      </c>
      <c r="N36" s="26">
        <v>107</v>
      </c>
      <c r="O36" s="52">
        <v>0</v>
      </c>
      <c r="P36" s="28">
        <v>118</v>
      </c>
      <c r="Q36" s="62">
        <v>0</v>
      </c>
    </row>
    <row r="37" spans="1:17" ht="19.5" thickBot="1" x14ac:dyDescent="0.2">
      <c r="A37" s="121"/>
      <c r="B37" s="107"/>
      <c r="C37" s="119"/>
      <c r="D37" s="19"/>
      <c r="E37" s="53">
        <f>E36/D36</f>
        <v>0</v>
      </c>
      <c r="F37" s="47">
        <f>F36/D36</f>
        <v>1.4054054054054055</v>
      </c>
      <c r="G37" s="53">
        <f>G36/F36</f>
        <v>0</v>
      </c>
      <c r="H37" s="47">
        <f>H36/F36</f>
        <v>1.2307692307692308</v>
      </c>
      <c r="I37" s="53">
        <f>I36/H36</f>
        <v>0</v>
      </c>
      <c r="J37" s="47">
        <f>J36/H36</f>
        <v>1.0625</v>
      </c>
      <c r="K37" s="53">
        <f>K36/J36</f>
        <v>0</v>
      </c>
      <c r="L37" s="47">
        <f>L36/J36</f>
        <v>0.875</v>
      </c>
      <c r="M37" s="53">
        <f>M36/L36</f>
        <v>0</v>
      </c>
      <c r="N37" s="47">
        <f>N36/L36</f>
        <v>0.89915966386554624</v>
      </c>
      <c r="O37" s="53">
        <f>O36/N36</f>
        <v>0</v>
      </c>
      <c r="P37" s="47">
        <f>P36/N36</f>
        <v>1.1028037383177569</v>
      </c>
      <c r="Q37" s="63">
        <f>Q36/P36</f>
        <v>0</v>
      </c>
    </row>
    <row r="38" spans="1:17" ht="22.5" x14ac:dyDescent="0.15">
      <c r="A38" s="121"/>
      <c r="B38" s="106" t="s">
        <v>252</v>
      </c>
      <c r="C38" s="118" t="s">
        <v>21</v>
      </c>
      <c r="D38" s="26">
        <v>351</v>
      </c>
      <c r="E38" s="52">
        <v>0</v>
      </c>
      <c r="F38" s="26">
        <v>401</v>
      </c>
      <c r="G38" s="52">
        <v>0</v>
      </c>
      <c r="H38" s="26">
        <v>404</v>
      </c>
      <c r="I38" s="52">
        <v>0</v>
      </c>
      <c r="J38" s="26">
        <v>352</v>
      </c>
      <c r="K38" s="52">
        <v>1</v>
      </c>
      <c r="L38" s="26">
        <v>305</v>
      </c>
      <c r="M38" s="52">
        <v>0</v>
      </c>
      <c r="N38" s="26">
        <v>273</v>
      </c>
      <c r="O38" s="52">
        <v>0</v>
      </c>
      <c r="P38" s="28">
        <v>228</v>
      </c>
      <c r="Q38" s="62">
        <v>0</v>
      </c>
    </row>
    <row r="39" spans="1:17" ht="19.5" thickBot="1" x14ac:dyDescent="0.2">
      <c r="A39" s="121"/>
      <c r="B39" s="107"/>
      <c r="C39" s="119"/>
      <c r="D39" s="19"/>
      <c r="E39" s="53">
        <f>E38/D38</f>
        <v>0</v>
      </c>
      <c r="F39" s="47">
        <f>F38/D38</f>
        <v>1.1424501424501425</v>
      </c>
      <c r="G39" s="53">
        <f>G38/F38</f>
        <v>0</v>
      </c>
      <c r="H39" s="47">
        <f>H38/F38</f>
        <v>1.0074812967581048</v>
      </c>
      <c r="I39" s="53">
        <f>I38/H38</f>
        <v>0</v>
      </c>
      <c r="J39" s="47">
        <f>J38/H38</f>
        <v>0.87128712871287128</v>
      </c>
      <c r="K39" s="53">
        <f>K38/J38</f>
        <v>2.840909090909091E-3</v>
      </c>
      <c r="L39" s="47">
        <f>L38/J38</f>
        <v>0.86647727272727271</v>
      </c>
      <c r="M39" s="53">
        <f>M38/L38</f>
        <v>0</v>
      </c>
      <c r="N39" s="47">
        <f>N38/L38</f>
        <v>0.89508196721311473</v>
      </c>
      <c r="O39" s="53">
        <f>O38/N38</f>
        <v>0</v>
      </c>
      <c r="P39" s="47">
        <f>P38/N38</f>
        <v>0.8351648351648352</v>
      </c>
      <c r="Q39" s="63">
        <f>Q38/P38</f>
        <v>0</v>
      </c>
    </row>
    <row r="40" spans="1:17" ht="22.5" x14ac:dyDescent="0.15">
      <c r="A40" s="121"/>
      <c r="B40" s="108" t="s">
        <v>260</v>
      </c>
      <c r="C40" s="118" t="s">
        <v>21</v>
      </c>
      <c r="D40" s="26">
        <v>175</v>
      </c>
      <c r="E40" s="52">
        <v>0</v>
      </c>
      <c r="F40" s="26">
        <v>212</v>
      </c>
      <c r="G40" s="52">
        <v>1</v>
      </c>
      <c r="H40" s="26">
        <v>218</v>
      </c>
      <c r="I40" s="52">
        <v>1</v>
      </c>
      <c r="J40" s="26">
        <v>214</v>
      </c>
      <c r="K40" s="52">
        <v>1</v>
      </c>
      <c r="L40" s="26">
        <v>153</v>
      </c>
      <c r="M40" s="52">
        <v>0</v>
      </c>
      <c r="N40" s="26">
        <v>127</v>
      </c>
      <c r="O40" s="52">
        <v>0</v>
      </c>
      <c r="P40" s="28">
        <v>100</v>
      </c>
      <c r="Q40" s="62">
        <v>0</v>
      </c>
    </row>
    <row r="41" spans="1:17" ht="19.5" thickBot="1" x14ac:dyDescent="0.2">
      <c r="A41" s="121"/>
      <c r="B41" s="107"/>
      <c r="C41" s="119"/>
      <c r="D41" s="19"/>
      <c r="E41" s="53">
        <f>E40/D40</f>
        <v>0</v>
      </c>
      <c r="F41" s="47">
        <f>F40/D40</f>
        <v>1.2114285714285715</v>
      </c>
      <c r="G41" s="53">
        <f>G40/F40</f>
        <v>4.7169811320754715E-3</v>
      </c>
      <c r="H41" s="47">
        <f>H40/F40</f>
        <v>1.0283018867924529</v>
      </c>
      <c r="I41" s="53">
        <f>I40/H40</f>
        <v>4.5871559633027525E-3</v>
      </c>
      <c r="J41" s="47">
        <f>J40/H40</f>
        <v>0.98165137614678899</v>
      </c>
      <c r="K41" s="53">
        <f>K40/J40</f>
        <v>4.6728971962616819E-3</v>
      </c>
      <c r="L41" s="47">
        <f>L40/J40</f>
        <v>0.71495327102803741</v>
      </c>
      <c r="M41" s="53">
        <f>M40/L40</f>
        <v>0</v>
      </c>
      <c r="N41" s="47">
        <f>N40/L40</f>
        <v>0.83006535947712423</v>
      </c>
      <c r="O41" s="53">
        <f>O40/N40</f>
        <v>0</v>
      </c>
      <c r="P41" s="47">
        <f>P40/N40</f>
        <v>0.78740157480314965</v>
      </c>
      <c r="Q41" s="63">
        <f>Q40/P40</f>
        <v>0</v>
      </c>
    </row>
    <row r="42" spans="1:17" ht="22.5" x14ac:dyDescent="0.15">
      <c r="A42" s="121"/>
      <c r="B42" s="108" t="s">
        <v>259</v>
      </c>
      <c r="C42" s="118" t="s">
        <v>21</v>
      </c>
      <c r="D42" s="35"/>
      <c r="E42" s="54"/>
      <c r="F42" s="35"/>
      <c r="G42" s="54"/>
      <c r="H42" s="35"/>
      <c r="I42" s="54"/>
      <c r="J42" s="35"/>
      <c r="K42" s="54"/>
      <c r="L42" s="35"/>
      <c r="M42" s="54"/>
      <c r="N42" s="35"/>
      <c r="O42" s="54"/>
      <c r="P42" s="28">
        <v>41</v>
      </c>
      <c r="Q42" s="62">
        <v>0</v>
      </c>
    </row>
    <row r="43" spans="1:17" ht="19.5" thickBot="1" x14ac:dyDescent="0.2">
      <c r="A43" s="122"/>
      <c r="B43" s="107"/>
      <c r="C43" s="119"/>
      <c r="D43" s="102"/>
      <c r="E43" s="103"/>
      <c r="F43" s="102"/>
      <c r="G43" s="103"/>
      <c r="H43" s="102"/>
      <c r="I43" s="103"/>
      <c r="J43" s="102"/>
      <c r="K43" s="103"/>
      <c r="L43" s="102"/>
      <c r="M43" s="103"/>
      <c r="N43" s="102"/>
      <c r="O43" s="103"/>
      <c r="P43" s="19"/>
      <c r="Q43" s="63">
        <f>Q42/P42</f>
        <v>0</v>
      </c>
    </row>
    <row r="44" spans="1:17" ht="19.5" customHeight="1" x14ac:dyDescent="0.15">
      <c r="A44" s="120" t="s">
        <v>318</v>
      </c>
      <c r="B44" s="106" t="s">
        <v>252</v>
      </c>
      <c r="C44" s="118" t="s">
        <v>21</v>
      </c>
      <c r="D44" s="35"/>
      <c r="E44" s="54"/>
      <c r="F44" s="35"/>
      <c r="G44" s="54"/>
      <c r="H44" s="26">
        <v>21</v>
      </c>
      <c r="I44" s="52">
        <v>1</v>
      </c>
      <c r="J44" s="26">
        <v>27</v>
      </c>
      <c r="K44" s="52">
        <v>0</v>
      </c>
      <c r="L44" s="26">
        <v>23</v>
      </c>
      <c r="M44" s="52">
        <v>0</v>
      </c>
      <c r="N44" s="26">
        <v>23</v>
      </c>
      <c r="O44" s="52">
        <v>0</v>
      </c>
      <c r="P44" s="28">
        <v>20</v>
      </c>
      <c r="Q44" s="62">
        <v>0</v>
      </c>
    </row>
    <row r="45" spans="1:17" ht="19.5" thickBot="1" x14ac:dyDescent="0.2">
      <c r="A45" s="123"/>
      <c r="B45" s="107"/>
      <c r="C45" s="119"/>
      <c r="D45" s="102"/>
      <c r="E45" s="103"/>
      <c r="F45" s="102"/>
      <c r="G45" s="103"/>
      <c r="H45" s="19"/>
      <c r="I45" s="53">
        <f>I44/H44</f>
        <v>4.7619047619047616E-2</v>
      </c>
      <c r="J45" s="47">
        <f>J44/H44</f>
        <v>1.2857142857142858</v>
      </c>
      <c r="K45" s="53">
        <f>K44/J44</f>
        <v>0</v>
      </c>
      <c r="L45" s="47">
        <f>L44/J44</f>
        <v>0.85185185185185186</v>
      </c>
      <c r="M45" s="53">
        <f>M44/L44</f>
        <v>0</v>
      </c>
      <c r="N45" s="47">
        <f>N44/L44</f>
        <v>1</v>
      </c>
      <c r="O45" s="53">
        <f>O44/N44</f>
        <v>0</v>
      </c>
      <c r="P45" s="47">
        <f>P44/N44</f>
        <v>0.86956521739130432</v>
      </c>
      <c r="Q45" s="63">
        <f>Q44/P44</f>
        <v>0</v>
      </c>
    </row>
    <row r="46" spans="1:17" ht="22.5" x14ac:dyDescent="0.15">
      <c r="A46" s="123"/>
      <c r="B46" s="106" t="s">
        <v>319</v>
      </c>
      <c r="C46" s="118" t="s">
        <v>21</v>
      </c>
      <c r="D46" s="35"/>
      <c r="E46" s="54"/>
      <c r="F46" s="35"/>
      <c r="G46" s="54"/>
      <c r="H46" s="26">
        <v>99</v>
      </c>
      <c r="I46" s="52">
        <v>0</v>
      </c>
      <c r="J46" s="26">
        <v>88</v>
      </c>
      <c r="K46" s="52">
        <v>0</v>
      </c>
      <c r="L46" s="26">
        <v>83</v>
      </c>
      <c r="M46" s="52">
        <v>0</v>
      </c>
      <c r="N46" s="26">
        <v>83</v>
      </c>
      <c r="O46" s="52">
        <v>0</v>
      </c>
      <c r="P46" s="28">
        <v>95</v>
      </c>
      <c r="Q46" s="62">
        <v>1</v>
      </c>
    </row>
    <row r="47" spans="1:17" ht="19.5" thickBot="1" x14ac:dyDescent="0.2">
      <c r="A47" s="124"/>
      <c r="B47" s="107"/>
      <c r="C47" s="119"/>
      <c r="D47" s="102"/>
      <c r="E47" s="103"/>
      <c r="F47" s="102"/>
      <c r="G47" s="103"/>
      <c r="H47" s="19"/>
      <c r="I47" s="53">
        <f>I46/H46</f>
        <v>0</v>
      </c>
      <c r="J47" s="47">
        <f>J46/H46</f>
        <v>0.88888888888888884</v>
      </c>
      <c r="K47" s="53">
        <f>K46/J46</f>
        <v>0</v>
      </c>
      <c r="L47" s="47">
        <f>L46/J46</f>
        <v>0.94318181818181823</v>
      </c>
      <c r="M47" s="53">
        <f>M46/L46</f>
        <v>0</v>
      </c>
      <c r="N47" s="47">
        <f>N46/L46</f>
        <v>1</v>
      </c>
      <c r="O47" s="53">
        <f>O46/N46</f>
        <v>0</v>
      </c>
      <c r="P47" s="47">
        <f>P46/N46</f>
        <v>1.1445783132530121</v>
      </c>
      <c r="Q47" s="63">
        <f>Q46/P46</f>
        <v>1.0526315789473684E-2</v>
      </c>
    </row>
    <row r="48" spans="1:17" ht="19.5" customHeight="1" x14ac:dyDescent="0.15">
      <c r="A48" s="120" t="s">
        <v>320</v>
      </c>
      <c r="B48" s="106" t="s">
        <v>258</v>
      </c>
      <c r="C48" s="118" t="s">
        <v>21</v>
      </c>
      <c r="D48" s="35"/>
      <c r="E48" s="54"/>
      <c r="F48" s="35"/>
      <c r="G48" s="54"/>
      <c r="H48" s="26">
        <v>106</v>
      </c>
      <c r="I48" s="52">
        <v>0</v>
      </c>
      <c r="J48" s="26">
        <v>78</v>
      </c>
      <c r="K48" s="52">
        <v>0</v>
      </c>
      <c r="L48" s="26">
        <v>65</v>
      </c>
      <c r="M48" s="52">
        <v>0</v>
      </c>
      <c r="N48" s="26">
        <v>56</v>
      </c>
      <c r="O48" s="52">
        <v>0</v>
      </c>
      <c r="P48" s="28">
        <v>59</v>
      </c>
      <c r="Q48" s="62">
        <v>0</v>
      </c>
    </row>
    <row r="49" spans="1:17" ht="19.5" thickBot="1" x14ac:dyDescent="0.2">
      <c r="A49" s="123"/>
      <c r="B49" s="107"/>
      <c r="C49" s="119"/>
      <c r="D49" s="102"/>
      <c r="E49" s="103"/>
      <c r="F49" s="102"/>
      <c r="G49" s="103"/>
      <c r="H49" s="19"/>
      <c r="I49" s="53">
        <f>I48/H48</f>
        <v>0</v>
      </c>
      <c r="J49" s="47">
        <f>J48/H48</f>
        <v>0.73584905660377353</v>
      </c>
      <c r="K49" s="53">
        <f>K48/J48</f>
        <v>0</v>
      </c>
      <c r="L49" s="47">
        <f>L48/J48</f>
        <v>0.83333333333333337</v>
      </c>
      <c r="M49" s="53">
        <f>M48/L48</f>
        <v>0</v>
      </c>
      <c r="N49" s="47">
        <f>N48/L48</f>
        <v>0.86153846153846159</v>
      </c>
      <c r="O49" s="53">
        <f>O48/N48</f>
        <v>0</v>
      </c>
      <c r="P49" s="47">
        <f>P48/N48</f>
        <v>1.0535714285714286</v>
      </c>
      <c r="Q49" s="63">
        <f>Q48/P48</f>
        <v>0</v>
      </c>
    </row>
    <row r="50" spans="1:17" ht="22.5" x14ac:dyDescent="0.15">
      <c r="A50" s="123"/>
      <c r="B50" s="106" t="s">
        <v>252</v>
      </c>
      <c r="C50" s="118" t="s">
        <v>21</v>
      </c>
      <c r="D50" s="35"/>
      <c r="E50" s="54"/>
      <c r="F50" s="35"/>
      <c r="G50" s="54"/>
      <c r="H50" s="26">
        <v>124</v>
      </c>
      <c r="I50" s="52">
        <v>0</v>
      </c>
      <c r="J50" s="26">
        <v>116</v>
      </c>
      <c r="K50" s="52">
        <v>0</v>
      </c>
      <c r="L50" s="26">
        <v>99</v>
      </c>
      <c r="M50" s="52">
        <v>0</v>
      </c>
      <c r="N50" s="26">
        <v>89</v>
      </c>
      <c r="O50" s="52">
        <v>0</v>
      </c>
      <c r="P50" s="28">
        <v>77</v>
      </c>
      <c r="Q50" s="62">
        <v>0</v>
      </c>
    </row>
    <row r="51" spans="1:17" ht="19.5" thickBot="1" x14ac:dyDescent="0.2">
      <c r="A51" s="124"/>
      <c r="B51" s="107"/>
      <c r="C51" s="119"/>
      <c r="D51" s="102"/>
      <c r="E51" s="103"/>
      <c r="F51" s="102"/>
      <c r="G51" s="103"/>
      <c r="H51" s="19"/>
      <c r="I51" s="53">
        <f>I50/H50</f>
        <v>0</v>
      </c>
      <c r="J51" s="47">
        <f>J50/H50</f>
        <v>0.93548387096774188</v>
      </c>
      <c r="K51" s="53">
        <f>K50/J50</f>
        <v>0</v>
      </c>
      <c r="L51" s="47">
        <f>L50/J50</f>
        <v>0.85344827586206895</v>
      </c>
      <c r="M51" s="53">
        <f>M50/L50</f>
        <v>0</v>
      </c>
      <c r="N51" s="47">
        <f>N50/L50</f>
        <v>0.89898989898989901</v>
      </c>
      <c r="O51" s="53">
        <f>O50/N50</f>
        <v>0</v>
      </c>
      <c r="P51" s="47">
        <f>P50/N50</f>
        <v>0.8651685393258427</v>
      </c>
      <c r="Q51" s="63">
        <f>Q50/P50</f>
        <v>0</v>
      </c>
    </row>
    <row r="52" spans="1:17" ht="18.75" customHeight="1" x14ac:dyDescent="0.15"/>
  </sheetData>
  <mergeCells count="94">
    <mergeCell ref="B38:B39"/>
    <mergeCell ref="C38:C39"/>
    <mergeCell ref="B40:B41"/>
    <mergeCell ref="C40:C41"/>
    <mergeCell ref="D31:E31"/>
    <mergeCell ref="D35:E35"/>
    <mergeCell ref="C34:C35"/>
    <mergeCell ref="J35:K35"/>
    <mergeCell ref="L35:M35"/>
    <mergeCell ref="N35:O35"/>
    <mergeCell ref="B36:B37"/>
    <mergeCell ref="C36:C37"/>
    <mergeCell ref="F35:G35"/>
    <mergeCell ref="H35:I35"/>
    <mergeCell ref="C8:C9"/>
    <mergeCell ref="A26:A35"/>
    <mergeCell ref="B26:B27"/>
    <mergeCell ref="C26:C27"/>
    <mergeCell ref="B30:B31"/>
    <mergeCell ref="C30:C31"/>
    <mergeCell ref="A6:A13"/>
    <mergeCell ref="B14:B15"/>
    <mergeCell ref="C14:C15"/>
    <mergeCell ref="B10:B11"/>
    <mergeCell ref="C10:C11"/>
    <mergeCell ref="B6:B7"/>
    <mergeCell ref="C6:C7"/>
    <mergeCell ref="B32:B33"/>
    <mergeCell ref="C32:C33"/>
    <mergeCell ref="B34:B35"/>
    <mergeCell ref="B28:B29"/>
    <mergeCell ref="C28:C29"/>
    <mergeCell ref="B22:B23"/>
    <mergeCell ref="C22:C23"/>
    <mergeCell ref="D23:E23"/>
    <mergeCell ref="B8:B9"/>
    <mergeCell ref="P3:Q3"/>
    <mergeCell ref="F15:G15"/>
    <mergeCell ref="F17:G17"/>
    <mergeCell ref="F19:G19"/>
    <mergeCell ref="D3:E3"/>
    <mergeCell ref="F3:G3"/>
    <mergeCell ref="H3:I3"/>
    <mergeCell ref="J3:K3"/>
    <mergeCell ref="L3:M3"/>
    <mergeCell ref="N3:O3"/>
    <mergeCell ref="B12:B13"/>
    <mergeCell ref="H19:I19"/>
    <mergeCell ref="J19:K19"/>
    <mergeCell ref="C12:C13"/>
    <mergeCell ref="D15:E15"/>
    <mergeCell ref="F23:G23"/>
    <mergeCell ref="A14:A25"/>
    <mergeCell ref="B24:B25"/>
    <mergeCell ref="C24:C25"/>
    <mergeCell ref="D25:E25"/>
    <mergeCell ref="F25:G25"/>
    <mergeCell ref="B20:B21"/>
    <mergeCell ref="C20:C21"/>
    <mergeCell ref="D21:E21"/>
    <mergeCell ref="F21:G21"/>
    <mergeCell ref="B16:B17"/>
    <mergeCell ref="C16:C17"/>
    <mergeCell ref="D17:E17"/>
    <mergeCell ref="B18:B19"/>
    <mergeCell ref="C18:C19"/>
    <mergeCell ref="D19:E19"/>
    <mergeCell ref="A44:A47"/>
    <mergeCell ref="B44:B45"/>
    <mergeCell ref="C44:C45"/>
    <mergeCell ref="B46:B47"/>
    <mergeCell ref="C46:C47"/>
    <mergeCell ref="A36:A43"/>
    <mergeCell ref="D43:E43"/>
    <mergeCell ref="F43:G43"/>
    <mergeCell ref="A48:A51"/>
    <mergeCell ref="B48:B49"/>
    <mergeCell ref="C48:C49"/>
    <mergeCell ref="D49:E49"/>
    <mergeCell ref="F49:G49"/>
    <mergeCell ref="B50:B51"/>
    <mergeCell ref="C50:C51"/>
    <mergeCell ref="D51:E51"/>
    <mergeCell ref="F51:G51"/>
    <mergeCell ref="D45:E45"/>
    <mergeCell ref="F45:G45"/>
    <mergeCell ref="D47:E47"/>
    <mergeCell ref="F47:G47"/>
    <mergeCell ref="H43:I43"/>
    <mergeCell ref="J43:K43"/>
    <mergeCell ref="L43:M43"/>
    <mergeCell ref="N43:O43"/>
    <mergeCell ref="B42:B43"/>
    <mergeCell ref="C42:C43"/>
  </mergeCells>
  <phoneticPr fontId="2"/>
  <conditionalFormatting sqref="J51 L51 N51 P51 P49 N49 L49 J49 J47 L47 N47 P47 P45 N45 L45 J45 H41 J41 L41 N41 P41 P39 N39 L39 J39 H39 F41 F39 F37 H37 J37 L37 N37 P37 P33 N33 L33 J33 H33 F33 H31 J31 L31 N31 P31 P29 N29 L29 J29 H29 F29 F27 H27 J27 L27 N27 P27 P25 N25 L25 J25 J23 L23 N23 P23 P21 N21 L21 J21 P19 N19 J17 L17 N17 P17 P15 N15 L15 J15 H13 J13 L13 N13 P13 P11 N11 L11 J11 H11 H9 J9 L9 N9 P9 P7 N7 L7 J7 H7 F13 F11 F9 F7">
    <cfRule type="cellIs" dxfId="7" priority="3" operator="lessThan">
      <formula>1</formula>
    </cfRule>
    <cfRule type="cellIs" dxfId="6" priority="4" operator="greaterThanOrEqual">
      <formula>1</formula>
    </cfRule>
  </conditionalFormatting>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0DE72-225F-4411-8D18-6C102D05C815}">
  <dimension ref="A2:Q62"/>
  <sheetViews>
    <sheetView showGridLines="0" topLeftCell="A16" zoomScale="80" zoomScaleNormal="80" workbookViewId="0">
      <selection activeCell="T28" sqref="T28"/>
    </sheetView>
  </sheetViews>
  <sheetFormatPr defaultRowHeight="18.75" x14ac:dyDescent="0.15"/>
  <cols>
    <col min="1" max="1" width="24.375" style="1" bestFit="1" customWidth="1"/>
    <col min="2" max="2" width="29.125" style="2" customWidth="1"/>
    <col min="3" max="3" width="8.625" style="2" customWidth="1"/>
    <col min="4" max="4" width="9.75" style="1" customWidth="1"/>
    <col min="5" max="5" width="7.5" style="1" bestFit="1" customWidth="1"/>
    <col min="6" max="6" width="10.25" style="1" bestFit="1" customWidth="1"/>
    <col min="7" max="7" width="7.625" style="1" bestFit="1" customWidth="1"/>
    <col min="8" max="8" width="10.25" style="1" bestFit="1" customWidth="1"/>
    <col min="9" max="9" width="7.625" style="1" bestFit="1" customWidth="1"/>
    <col min="10" max="10" width="10.25" style="1" bestFit="1" customWidth="1"/>
    <col min="11" max="11" width="7.625" style="1" bestFit="1" customWidth="1"/>
    <col min="12" max="12" width="10.25" style="1" bestFit="1" customWidth="1"/>
    <col min="13" max="13" width="7.5" style="1" bestFit="1" customWidth="1"/>
    <col min="14" max="14" width="10.25" style="1" bestFit="1" customWidth="1"/>
    <col min="15" max="15" width="7.625" style="1" bestFit="1" customWidth="1"/>
    <col min="16" max="16" width="10.25" style="1" bestFit="1" customWidth="1"/>
    <col min="17" max="17" width="7.5" style="1" bestFit="1" customWidth="1"/>
    <col min="18" max="16384" width="9" style="1"/>
  </cols>
  <sheetData>
    <row r="2" spans="1:17" ht="33.75" thickBot="1" x14ac:dyDescent="0.2">
      <c r="B2" s="10"/>
    </row>
    <row r="3" spans="1:17" ht="19.5" thickBot="1" x14ac:dyDescent="0.2">
      <c r="D3" s="94">
        <v>2019</v>
      </c>
      <c r="E3" s="95"/>
      <c r="F3" s="94">
        <v>2020</v>
      </c>
      <c r="G3" s="95"/>
      <c r="H3" s="94">
        <v>2021</v>
      </c>
      <c r="I3" s="95"/>
      <c r="J3" s="94">
        <v>2022</v>
      </c>
      <c r="K3" s="95"/>
      <c r="L3" s="94">
        <v>2023</v>
      </c>
      <c r="M3" s="95"/>
      <c r="N3" s="94">
        <v>2024</v>
      </c>
      <c r="O3" s="95"/>
      <c r="P3" s="94">
        <v>2025</v>
      </c>
      <c r="Q3" s="95"/>
    </row>
    <row r="4" spans="1:17" s="48" customFormat="1" x14ac:dyDescent="0.15">
      <c r="B4" s="2"/>
      <c r="C4" s="2"/>
      <c r="D4" s="64" t="s">
        <v>213</v>
      </c>
      <c r="E4" s="14" t="s">
        <v>214</v>
      </c>
      <c r="F4" s="64" t="s">
        <v>213</v>
      </c>
      <c r="G4" s="14" t="s">
        <v>214</v>
      </c>
      <c r="H4" s="64" t="s">
        <v>213</v>
      </c>
      <c r="I4" s="14" t="s">
        <v>214</v>
      </c>
      <c r="J4" s="64" t="s">
        <v>213</v>
      </c>
      <c r="K4" s="14" t="s">
        <v>214</v>
      </c>
      <c r="L4" s="64" t="s">
        <v>213</v>
      </c>
      <c r="M4" s="14" t="s">
        <v>214</v>
      </c>
      <c r="N4" s="64" t="s">
        <v>213</v>
      </c>
      <c r="O4" s="14" t="s">
        <v>214</v>
      </c>
      <c r="P4" s="64" t="s">
        <v>213</v>
      </c>
      <c r="Q4" s="14" t="s">
        <v>214</v>
      </c>
    </row>
    <row r="5" spans="1:17" ht="38.25" thickBot="1" x14ac:dyDescent="0.2">
      <c r="D5" s="15" t="s">
        <v>211</v>
      </c>
      <c r="E5" s="49" t="s">
        <v>212</v>
      </c>
      <c r="F5" s="15" t="s">
        <v>211</v>
      </c>
      <c r="G5" s="49" t="s">
        <v>212</v>
      </c>
      <c r="H5" s="15" t="s">
        <v>211</v>
      </c>
      <c r="I5" s="49" t="s">
        <v>212</v>
      </c>
      <c r="J5" s="15" t="s">
        <v>211</v>
      </c>
      <c r="K5" s="49" t="s">
        <v>212</v>
      </c>
      <c r="L5" s="15" t="s">
        <v>211</v>
      </c>
      <c r="M5" s="49" t="s">
        <v>212</v>
      </c>
      <c r="N5" s="15" t="s">
        <v>211</v>
      </c>
      <c r="O5" s="49" t="s">
        <v>212</v>
      </c>
      <c r="P5" s="15" t="s">
        <v>211</v>
      </c>
      <c r="Q5" s="49" t="s">
        <v>212</v>
      </c>
    </row>
    <row r="6" spans="1:17" ht="22.5" x14ac:dyDescent="0.15">
      <c r="A6" s="139" t="s">
        <v>1</v>
      </c>
      <c r="B6" s="141" t="s">
        <v>263</v>
      </c>
      <c r="C6" s="142" t="s">
        <v>38</v>
      </c>
      <c r="D6" s="25">
        <v>72</v>
      </c>
      <c r="E6" s="50">
        <v>0</v>
      </c>
      <c r="F6" s="25">
        <v>72</v>
      </c>
      <c r="G6" s="50">
        <v>0</v>
      </c>
      <c r="H6" s="25">
        <v>78</v>
      </c>
      <c r="I6" s="50">
        <v>0</v>
      </c>
      <c r="J6" s="25">
        <v>76</v>
      </c>
      <c r="K6" s="50">
        <v>0</v>
      </c>
      <c r="L6" s="25">
        <v>73</v>
      </c>
      <c r="M6" s="50">
        <v>0</v>
      </c>
      <c r="N6" s="25">
        <v>68</v>
      </c>
      <c r="O6" s="50">
        <v>0</v>
      </c>
      <c r="P6" s="30">
        <v>61</v>
      </c>
      <c r="Q6" s="60">
        <v>0</v>
      </c>
    </row>
    <row r="7" spans="1:17" ht="19.5" thickBot="1" x14ac:dyDescent="0.2">
      <c r="A7" s="131"/>
      <c r="B7" s="112"/>
      <c r="C7" s="143"/>
      <c r="D7" s="24"/>
      <c r="E7" s="51">
        <f>E6/D6</f>
        <v>0</v>
      </c>
      <c r="F7" s="16">
        <f>F6/D6</f>
        <v>1</v>
      </c>
      <c r="G7" s="57">
        <f>G6/F6</f>
        <v>0</v>
      </c>
      <c r="H7" s="16">
        <f>H6/F6</f>
        <v>1.0833333333333333</v>
      </c>
      <c r="I7" s="57">
        <f>I6/H6</f>
        <v>0</v>
      </c>
      <c r="J7" s="16">
        <f>J6/H6</f>
        <v>0.97435897435897434</v>
      </c>
      <c r="K7" s="57">
        <f>K6/J6</f>
        <v>0</v>
      </c>
      <c r="L7" s="16">
        <f>L6/J6</f>
        <v>0.96052631578947367</v>
      </c>
      <c r="M7" s="57">
        <f>M6/L6</f>
        <v>0</v>
      </c>
      <c r="N7" s="16">
        <f>N6/L6</f>
        <v>0.93150684931506844</v>
      </c>
      <c r="O7" s="57">
        <f>O6/N6</f>
        <v>0</v>
      </c>
      <c r="P7" s="16">
        <f>P6/N6</f>
        <v>0.8970588235294118</v>
      </c>
      <c r="Q7" s="57">
        <f>Q6/P6</f>
        <v>0</v>
      </c>
    </row>
    <row r="8" spans="1:17" ht="18.75" customHeight="1" x14ac:dyDescent="0.15">
      <c r="A8" s="131"/>
      <c r="B8" s="141" t="s">
        <v>264</v>
      </c>
      <c r="C8" s="142" t="s">
        <v>38</v>
      </c>
      <c r="D8" s="25">
        <v>105</v>
      </c>
      <c r="E8" s="50">
        <v>1</v>
      </c>
      <c r="F8" s="25">
        <v>96</v>
      </c>
      <c r="G8" s="50">
        <v>1</v>
      </c>
      <c r="H8" s="25">
        <v>92</v>
      </c>
      <c r="I8" s="50">
        <v>1</v>
      </c>
      <c r="J8" s="25">
        <v>67</v>
      </c>
      <c r="K8" s="50">
        <v>0</v>
      </c>
      <c r="L8" s="25">
        <v>76</v>
      </c>
      <c r="M8" s="50">
        <v>0</v>
      </c>
      <c r="N8" s="25">
        <v>58</v>
      </c>
      <c r="O8" s="50">
        <v>0</v>
      </c>
      <c r="P8" s="31">
        <v>51</v>
      </c>
      <c r="Q8" s="61">
        <v>0</v>
      </c>
    </row>
    <row r="9" spans="1:17" ht="19.5" thickBot="1" x14ac:dyDescent="0.2">
      <c r="A9" s="140"/>
      <c r="B9" s="112"/>
      <c r="C9" s="143"/>
      <c r="D9" s="24"/>
      <c r="E9" s="51">
        <f>E8/D8</f>
        <v>9.5238095238095247E-3</v>
      </c>
      <c r="F9" s="16">
        <f>F8/D8</f>
        <v>0.91428571428571426</v>
      </c>
      <c r="G9" s="57">
        <f>G8/F8</f>
        <v>1.0416666666666666E-2</v>
      </c>
      <c r="H9" s="16">
        <f>H8/F8</f>
        <v>0.95833333333333337</v>
      </c>
      <c r="I9" s="57">
        <f>I8/H8</f>
        <v>1.0869565217391304E-2</v>
      </c>
      <c r="J9" s="16">
        <f>J8/H8</f>
        <v>0.72826086956521741</v>
      </c>
      <c r="K9" s="57">
        <f>K8/J8</f>
        <v>0</v>
      </c>
      <c r="L9" s="16">
        <f>L8/J8</f>
        <v>1.1343283582089552</v>
      </c>
      <c r="M9" s="57">
        <f>M8/L8</f>
        <v>0</v>
      </c>
      <c r="N9" s="16">
        <f>N8/L8</f>
        <v>0.76315789473684215</v>
      </c>
      <c r="O9" s="57">
        <f>O8/N8</f>
        <v>0</v>
      </c>
      <c r="P9" s="16">
        <f>P8/N8</f>
        <v>0.87931034482758619</v>
      </c>
      <c r="Q9" s="57">
        <f>Q8/P8</f>
        <v>0</v>
      </c>
    </row>
    <row r="10" spans="1:17" ht="19.5" customHeight="1" x14ac:dyDescent="0.15">
      <c r="A10" s="129" t="s">
        <v>265</v>
      </c>
      <c r="B10" s="106" t="s">
        <v>267</v>
      </c>
      <c r="C10" s="118" t="s">
        <v>38</v>
      </c>
      <c r="D10" s="35"/>
      <c r="E10" s="54"/>
      <c r="F10" s="35"/>
      <c r="G10" s="54"/>
      <c r="H10" s="26">
        <v>171</v>
      </c>
      <c r="I10" s="52">
        <v>1</v>
      </c>
      <c r="J10" s="26">
        <v>178</v>
      </c>
      <c r="K10" s="52">
        <v>1</v>
      </c>
      <c r="L10" s="26">
        <v>178</v>
      </c>
      <c r="M10" s="52">
        <v>0</v>
      </c>
      <c r="N10" s="26">
        <v>157</v>
      </c>
      <c r="O10" s="52">
        <v>0</v>
      </c>
      <c r="P10" s="28">
        <v>125</v>
      </c>
      <c r="Q10" s="62">
        <v>0</v>
      </c>
    </row>
    <row r="11" spans="1:17" ht="19.5" thickBot="1" x14ac:dyDescent="0.2">
      <c r="A11" s="123"/>
      <c r="B11" s="107"/>
      <c r="C11" s="119"/>
      <c r="D11" s="102"/>
      <c r="E11" s="103"/>
      <c r="F11" s="102"/>
      <c r="G11" s="103"/>
      <c r="H11" s="19"/>
      <c r="I11" s="53">
        <f>I10/H10</f>
        <v>5.8479532163742687E-3</v>
      </c>
      <c r="J11" s="47">
        <f>J10/H10</f>
        <v>1.0409356725146199</v>
      </c>
      <c r="K11" s="53">
        <f>K10/J10</f>
        <v>5.6179775280898875E-3</v>
      </c>
      <c r="L11" s="47">
        <f>L10/J10</f>
        <v>1</v>
      </c>
      <c r="M11" s="53">
        <f>M10/L10</f>
        <v>0</v>
      </c>
      <c r="N11" s="47">
        <f>N10/L10</f>
        <v>0.8820224719101124</v>
      </c>
      <c r="O11" s="53">
        <f>O10/N10</f>
        <v>0</v>
      </c>
      <c r="P11" s="47">
        <f>P10/N10</f>
        <v>0.79617834394904463</v>
      </c>
      <c r="Q11" s="63">
        <f>Q10/P10</f>
        <v>0</v>
      </c>
    </row>
    <row r="12" spans="1:17" ht="22.5" x14ac:dyDescent="0.15">
      <c r="A12" s="123"/>
      <c r="B12" s="106" t="s">
        <v>268</v>
      </c>
      <c r="C12" s="118" t="s">
        <v>38</v>
      </c>
      <c r="D12" s="35"/>
      <c r="E12" s="54"/>
      <c r="F12" s="35"/>
      <c r="G12" s="54"/>
      <c r="H12" s="26">
        <v>9</v>
      </c>
      <c r="I12" s="52">
        <v>0</v>
      </c>
      <c r="J12" s="26">
        <v>13</v>
      </c>
      <c r="K12" s="52">
        <v>0</v>
      </c>
      <c r="L12" s="26">
        <v>13</v>
      </c>
      <c r="M12" s="52">
        <v>0</v>
      </c>
      <c r="N12" s="26">
        <v>22</v>
      </c>
      <c r="O12" s="52">
        <v>0</v>
      </c>
      <c r="P12" s="28">
        <v>24</v>
      </c>
      <c r="Q12" s="62">
        <v>0</v>
      </c>
    </row>
    <row r="13" spans="1:17" ht="19.5" thickBot="1" x14ac:dyDescent="0.2">
      <c r="A13" s="123"/>
      <c r="B13" s="107"/>
      <c r="C13" s="119"/>
      <c r="D13" s="102"/>
      <c r="E13" s="103"/>
      <c r="F13" s="102"/>
      <c r="G13" s="103"/>
      <c r="H13" s="19"/>
      <c r="I13" s="53">
        <f>I12/H12</f>
        <v>0</v>
      </c>
      <c r="J13" s="47">
        <f>J12/H12</f>
        <v>1.4444444444444444</v>
      </c>
      <c r="K13" s="53">
        <f>K12/J12</f>
        <v>0</v>
      </c>
      <c r="L13" s="47">
        <f>L12/J12</f>
        <v>1</v>
      </c>
      <c r="M13" s="53">
        <f>M12/L12</f>
        <v>0</v>
      </c>
      <c r="N13" s="47">
        <f>N12/L12</f>
        <v>1.6923076923076923</v>
      </c>
      <c r="O13" s="53">
        <f>O12/N12</f>
        <v>0</v>
      </c>
      <c r="P13" s="47">
        <f>P12/N12</f>
        <v>1.0909090909090908</v>
      </c>
      <c r="Q13" s="63">
        <f>Q12/P12</f>
        <v>0</v>
      </c>
    </row>
    <row r="14" spans="1:17" ht="22.5" x14ac:dyDescent="0.15">
      <c r="A14" s="123"/>
      <c r="B14" s="108" t="s">
        <v>269</v>
      </c>
      <c r="C14" s="118" t="s">
        <v>38</v>
      </c>
      <c r="D14" s="35"/>
      <c r="E14" s="54"/>
      <c r="F14" s="35"/>
      <c r="G14" s="54"/>
      <c r="H14" s="26">
        <v>272</v>
      </c>
      <c r="I14" s="52">
        <v>1</v>
      </c>
      <c r="J14" s="26">
        <v>267</v>
      </c>
      <c r="K14" s="52">
        <v>1</v>
      </c>
      <c r="L14" s="26">
        <v>255</v>
      </c>
      <c r="M14" s="52">
        <v>1</v>
      </c>
      <c r="N14" s="26">
        <v>231</v>
      </c>
      <c r="O14" s="52">
        <v>2</v>
      </c>
      <c r="P14" s="28">
        <v>201</v>
      </c>
      <c r="Q14" s="62">
        <v>1</v>
      </c>
    </row>
    <row r="15" spans="1:17" ht="19.5" thickBot="1" x14ac:dyDescent="0.2">
      <c r="A15" s="123"/>
      <c r="B15" s="107"/>
      <c r="C15" s="119"/>
      <c r="D15" s="102"/>
      <c r="E15" s="103"/>
      <c r="F15" s="102"/>
      <c r="G15" s="103"/>
      <c r="H15" s="19"/>
      <c r="I15" s="53">
        <f>I14/H14</f>
        <v>3.6764705882352941E-3</v>
      </c>
      <c r="J15" s="47">
        <f>J14/H14</f>
        <v>0.98161764705882348</v>
      </c>
      <c r="K15" s="53">
        <f>K14/J14</f>
        <v>3.7453183520599251E-3</v>
      </c>
      <c r="L15" s="47">
        <f>L14/J14</f>
        <v>0.9550561797752809</v>
      </c>
      <c r="M15" s="53">
        <f>M14/L14</f>
        <v>3.9215686274509803E-3</v>
      </c>
      <c r="N15" s="47">
        <f>N14/L14</f>
        <v>0.90588235294117647</v>
      </c>
      <c r="O15" s="53">
        <f>O14/N14</f>
        <v>8.658008658008658E-3</v>
      </c>
      <c r="P15" s="47">
        <f>P14/N14</f>
        <v>0.87012987012987009</v>
      </c>
      <c r="Q15" s="63">
        <f>Q14/P14</f>
        <v>4.9751243781094526E-3</v>
      </c>
    </row>
    <row r="16" spans="1:17" ht="22.5" x14ac:dyDescent="0.15">
      <c r="A16" s="129" t="s">
        <v>266</v>
      </c>
      <c r="B16" s="104" t="s">
        <v>270</v>
      </c>
      <c r="C16" s="118" t="s">
        <v>38</v>
      </c>
      <c r="D16" s="35"/>
      <c r="E16" s="54"/>
      <c r="F16" s="35"/>
      <c r="G16" s="54"/>
      <c r="H16" s="26">
        <v>188</v>
      </c>
      <c r="I16" s="52">
        <v>6</v>
      </c>
      <c r="J16" s="26">
        <v>186</v>
      </c>
      <c r="K16" s="52">
        <v>6</v>
      </c>
      <c r="L16" s="26">
        <v>184</v>
      </c>
      <c r="M16" s="52">
        <v>2</v>
      </c>
      <c r="N16" s="26">
        <v>193</v>
      </c>
      <c r="O16" s="52">
        <v>2</v>
      </c>
      <c r="P16" s="28"/>
      <c r="Q16" s="62"/>
    </row>
    <row r="17" spans="1:17" ht="19.5" thickBot="1" x14ac:dyDescent="0.2">
      <c r="A17" s="123"/>
      <c r="B17" s="105"/>
      <c r="C17" s="135"/>
      <c r="D17" s="102"/>
      <c r="E17" s="103"/>
      <c r="F17" s="102"/>
      <c r="G17" s="103"/>
      <c r="H17" s="19"/>
      <c r="I17" s="53">
        <f>I16/H16</f>
        <v>3.1914893617021274E-2</v>
      </c>
      <c r="J17" s="47">
        <f>J16/H16</f>
        <v>0.98936170212765961</v>
      </c>
      <c r="K17" s="53">
        <f>K16/J16</f>
        <v>3.2258064516129031E-2</v>
      </c>
      <c r="L17" s="47">
        <f>L16/J16</f>
        <v>0.989247311827957</v>
      </c>
      <c r="M17" s="53">
        <f>M16/L16</f>
        <v>1.0869565217391304E-2</v>
      </c>
      <c r="N17" s="47">
        <f>N16/L16</f>
        <v>1.048913043478261</v>
      </c>
      <c r="O17" s="53">
        <f>O16/N16</f>
        <v>1.0362694300518135E-2</v>
      </c>
      <c r="P17" s="47">
        <f>P16/N16</f>
        <v>0</v>
      </c>
      <c r="Q17" s="63"/>
    </row>
    <row r="18" spans="1:17" ht="22.5" x14ac:dyDescent="0.15">
      <c r="A18" s="123"/>
      <c r="B18" s="117" t="s">
        <v>264</v>
      </c>
      <c r="C18" s="118" t="s">
        <v>38</v>
      </c>
      <c r="D18" s="35"/>
      <c r="E18" s="54"/>
      <c r="F18" s="35"/>
      <c r="G18" s="54"/>
      <c r="H18" s="26">
        <v>163</v>
      </c>
      <c r="I18" s="52">
        <v>2</v>
      </c>
      <c r="J18" s="26">
        <v>146</v>
      </c>
      <c r="K18" s="52">
        <v>2</v>
      </c>
      <c r="L18" s="26">
        <v>130</v>
      </c>
      <c r="M18" s="52">
        <v>2</v>
      </c>
      <c r="N18" s="26">
        <v>138</v>
      </c>
      <c r="O18" s="52">
        <v>4</v>
      </c>
      <c r="P18" s="28"/>
      <c r="Q18" s="62"/>
    </row>
    <row r="19" spans="1:17" ht="19.5" thickBot="1" x14ac:dyDescent="0.2">
      <c r="A19" s="124"/>
      <c r="B19" s="105"/>
      <c r="C19" s="135"/>
      <c r="D19" s="102"/>
      <c r="E19" s="103"/>
      <c r="F19" s="102"/>
      <c r="G19" s="103"/>
      <c r="H19" s="19"/>
      <c r="I19" s="53">
        <f>I18/H18</f>
        <v>1.2269938650306749E-2</v>
      </c>
      <c r="J19" s="47">
        <f>J18/H18</f>
        <v>0.89570552147239269</v>
      </c>
      <c r="K19" s="53">
        <f>K18/J18</f>
        <v>1.3698630136986301E-2</v>
      </c>
      <c r="L19" s="47">
        <f>L18/J18</f>
        <v>0.8904109589041096</v>
      </c>
      <c r="M19" s="53">
        <f>M18/L18</f>
        <v>1.5384615384615385E-2</v>
      </c>
      <c r="N19" s="47">
        <f>N18/L18</f>
        <v>1.0615384615384615</v>
      </c>
      <c r="O19" s="53">
        <f>O18/N18</f>
        <v>2.8985507246376812E-2</v>
      </c>
      <c r="P19" s="47">
        <f>P18/N18</f>
        <v>0</v>
      </c>
      <c r="Q19" s="63"/>
    </row>
    <row r="20" spans="1:17" ht="22.5" x14ac:dyDescent="0.15">
      <c r="A20" s="104" t="s">
        <v>275</v>
      </c>
      <c r="B20" s="108" t="s">
        <v>271</v>
      </c>
      <c r="C20" s="118" t="s">
        <v>38</v>
      </c>
      <c r="D20" s="35"/>
      <c r="E20" s="54"/>
      <c r="F20" s="35"/>
      <c r="G20" s="54"/>
      <c r="H20" s="26">
        <v>168</v>
      </c>
      <c r="I20" s="52">
        <v>0</v>
      </c>
      <c r="J20" s="26">
        <v>88</v>
      </c>
      <c r="K20" s="52">
        <v>0</v>
      </c>
      <c r="L20" s="26">
        <v>88</v>
      </c>
      <c r="M20" s="52">
        <v>0</v>
      </c>
      <c r="N20" s="26">
        <v>92</v>
      </c>
      <c r="O20" s="52">
        <v>0</v>
      </c>
      <c r="P20" s="28">
        <v>92</v>
      </c>
      <c r="Q20" s="62">
        <v>0</v>
      </c>
    </row>
    <row r="21" spans="1:17" ht="19.5" thickBot="1" x14ac:dyDescent="0.2">
      <c r="A21" s="144"/>
      <c r="B21" s="107"/>
      <c r="C21" s="119"/>
      <c r="D21" s="102"/>
      <c r="E21" s="103"/>
      <c r="F21" s="102"/>
      <c r="G21" s="103"/>
      <c r="H21" s="19"/>
      <c r="I21" s="53">
        <f>I20/H20</f>
        <v>0</v>
      </c>
      <c r="J21" s="47">
        <f>J20/H20</f>
        <v>0.52380952380952384</v>
      </c>
      <c r="K21" s="53">
        <f>K20/J20</f>
        <v>0</v>
      </c>
      <c r="L21" s="47">
        <f>L20/J20</f>
        <v>1</v>
      </c>
      <c r="M21" s="53">
        <f>M20/L20</f>
        <v>0</v>
      </c>
      <c r="N21" s="47">
        <f>N20/L20</f>
        <v>1.0454545454545454</v>
      </c>
      <c r="O21" s="53">
        <f>O20/N20</f>
        <v>0</v>
      </c>
      <c r="P21" s="47">
        <f>P20/N20</f>
        <v>1</v>
      </c>
      <c r="Q21" s="63">
        <f>Q20/P20</f>
        <v>0</v>
      </c>
    </row>
    <row r="22" spans="1:17" ht="22.5" x14ac:dyDescent="0.15">
      <c r="A22" s="144"/>
      <c r="B22" s="108" t="s">
        <v>272</v>
      </c>
      <c r="C22" s="118" t="s">
        <v>38</v>
      </c>
      <c r="D22" s="35"/>
      <c r="E22" s="54"/>
      <c r="F22" s="35"/>
      <c r="G22" s="54"/>
      <c r="H22" s="35"/>
      <c r="I22" s="54"/>
      <c r="J22" s="26">
        <v>73</v>
      </c>
      <c r="K22" s="52">
        <v>0</v>
      </c>
      <c r="L22" s="26">
        <v>68</v>
      </c>
      <c r="M22" s="52">
        <v>0</v>
      </c>
      <c r="N22" s="26">
        <v>74</v>
      </c>
      <c r="O22" s="52">
        <v>0</v>
      </c>
      <c r="P22" s="28">
        <v>86</v>
      </c>
      <c r="Q22" s="62">
        <v>0</v>
      </c>
    </row>
    <row r="23" spans="1:17" ht="19.5" thickBot="1" x14ac:dyDescent="0.2">
      <c r="A23" s="144"/>
      <c r="B23" s="107"/>
      <c r="C23" s="119"/>
      <c r="D23" s="102"/>
      <c r="E23" s="103"/>
      <c r="F23" s="102"/>
      <c r="G23" s="103"/>
      <c r="H23" s="102"/>
      <c r="I23" s="103"/>
      <c r="J23" s="19"/>
      <c r="K23" s="53">
        <f>K22/J22</f>
        <v>0</v>
      </c>
      <c r="L23" s="47">
        <f>L22/J22</f>
        <v>0.93150684931506844</v>
      </c>
      <c r="M23" s="53">
        <f>M22/L22</f>
        <v>0</v>
      </c>
      <c r="N23" s="47">
        <f>N22/L22</f>
        <v>1.088235294117647</v>
      </c>
      <c r="O23" s="53">
        <f>O22/N22</f>
        <v>0</v>
      </c>
      <c r="P23" s="47">
        <f>P22/N22</f>
        <v>1.1621621621621621</v>
      </c>
      <c r="Q23" s="63">
        <f>Q22/P22</f>
        <v>0</v>
      </c>
    </row>
    <row r="24" spans="1:17" ht="19.5" customHeight="1" x14ac:dyDescent="0.15">
      <c r="A24" s="144"/>
      <c r="B24" s="108" t="s">
        <v>273</v>
      </c>
      <c r="C24" s="118" t="s">
        <v>38</v>
      </c>
      <c r="D24" s="35"/>
      <c r="E24" s="54"/>
      <c r="F24" s="35"/>
      <c r="G24" s="54"/>
      <c r="H24" s="26">
        <v>227</v>
      </c>
      <c r="I24" s="52">
        <v>0</v>
      </c>
      <c r="J24" s="26">
        <v>162</v>
      </c>
      <c r="K24" s="52">
        <v>0</v>
      </c>
      <c r="L24" s="26">
        <v>148</v>
      </c>
      <c r="M24" s="52">
        <v>0</v>
      </c>
      <c r="N24" s="26">
        <v>112</v>
      </c>
      <c r="O24" s="52">
        <v>0</v>
      </c>
      <c r="P24" s="28">
        <v>114</v>
      </c>
      <c r="Q24" s="62">
        <v>0</v>
      </c>
    </row>
    <row r="25" spans="1:17" ht="19.5" thickBot="1" x14ac:dyDescent="0.2">
      <c r="A25" s="144"/>
      <c r="B25" s="107"/>
      <c r="C25" s="119"/>
      <c r="D25" s="102"/>
      <c r="E25" s="103"/>
      <c r="F25" s="102"/>
      <c r="G25" s="103"/>
      <c r="H25" s="19"/>
      <c r="I25" s="53">
        <f>I24/H24</f>
        <v>0</v>
      </c>
      <c r="J25" s="47">
        <f>J24/H24</f>
        <v>0.71365638766519823</v>
      </c>
      <c r="K25" s="53">
        <f>K24/J24</f>
        <v>0</v>
      </c>
      <c r="L25" s="47">
        <f>L24/J24</f>
        <v>0.9135802469135802</v>
      </c>
      <c r="M25" s="53">
        <f>M24/L24</f>
        <v>0</v>
      </c>
      <c r="N25" s="47">
        <f>N24/L24</f>
        <v>0.7567567567567568</v>
      </c>
      <c r="O25" s="53">
        <f>O24/N24</f>
        <v>0</v>
      </c>
      <c r="P25" s="47">
        <f>P24/N24</f>
        <v>1.0178571428571428</v>
      </c>
      <c r="Q25" s="63">
        <f>Q24/P24</f>
        <v>0</v>
      </c>
    </row>
    <row r="26" spans="1:17" ht="22.5" x14ac:dyDescent="0.15">
      <c r="A26" s="144"/>
      <c r="B26" s="108" t="s">
        <v>274</v>
      </c>
      <c r="C26" s="118" t="s">
        <v>38</v>
      </c>
      <c r="D26" s="35"/>
      <c r="E26" s="54"/>
      <c r="F26" s="35"/>
      <c r="G26" s="54"/>
      <c r="H26" s="35"/>
      <c r="I26" s="54"/>
      <c r="J26" s="26">
        <v>67</v>
      </c>
      <c r="K26" s="52">
        <v>0</v>
      </c>
      <c r="L26" s="26">
        <v>59</v>
      </c>
      <c r="M26" s="52">
        <v>0</v>
      </c>
      <c r="N26" s="26">
        <v>55</v>
      </c>
      <c r="O26" s="52">
        <v>0</v>
      </c>
      <c r="P26" s="28">
        <v>30</v>
      </c>
      <c r="Q26" s="62">
        <v>0</v>
      </c>
    </row>
    <row r="27" spans="1:17" ht="19.5" thickBot="1" x14ac:dyDescent="0.2">
      <c r="A27" s="99"/>
      <c r="B27" s="107"/>
      <c r="C27" s="119"/>
      <c r="D27" s="102"/>
      <c r="E27" s="103"/>
      <c r="F27" s="102"/>
      <c r="G27" s="103"/>
      <c r="H27" s="102"/>
      <c r="I27" s="103"/>
      <c r="J27" s="19"/>
      <c r="K27" s="53">
        <f>K26/J26</f>
        <v>0</v>
      </c>
      <c r="L27" s="47">
        <f>L26/J26</f>
        <v>0.88059701492537312</v>
      </c>
      <c r="M27" s="53">
        <f>M26/L26</f>
        <v>0</v>
      </c>
      <c r="N27" s="47">
        <f>N26/L26</f>
        <v>0.93220338983050843</v>
      </c>
      <c r="O27" s="53">
        <f>O26/N26</f>
        <v>0</v>
      </c>
      <c r="P27" s="47">
        <f>P26/N26</f>
        <v>0.54545454545454541</v>
      </c>
      <c r="Q27" s="63">
        <f>Q26/P26</f>
        <v>0</v>
      </c>
    </row>
    <row r="28" spans="1:17" ht="19.5" customHeight="1" x14ac:dyDescent="0.15">
      <c r="A28" s="120" t="s">
        <v>289</v>
      </c>
      <c r="B28" s="106" t="s">
        <v>290</v>
      </c>
      <c r="C28" s="118" t="s">
        <v>38</v>
      </c>
      <c r="D28" s="35"/>
      <c r="E28" s="54"/>
      <c r="F28" s="35"/>
      <c r="G28" s="54"/>
      <c r="H28" s="26">
        <v>90</v>
      </c>
      <c r="I28" s="52">
        <v>0</v>
      </c>
      <c r="J28" s="26">
        <v>88</v>
      </c>
      <c r="K28" s="52">
        <v>0</v>
      </c>
      <c r="L28" s="26">
        <v>84</v>
      </c>
      <c r="M28" s="52">
        <v>0</v>
      </c>
      <c r="N28" s="26">
        <v>88</v>
      </c>
      <c r="O28" s="52">
        <v>0</v>
      </c>
      <c r="P28" s="36">
        <v>87</v>
      </c>
      <c r="Q28" s="65">
        <v>0</v>
      </c>
    </row>
    <row r="29" spans="1:17" ht="19.5" thickBot="1" x14ac:dyDescent="0.2">
      <c r="A29" s="123"/>
      <c r="B29" s="107"/>
      <c r="C29" s="119"/>
      <c r="D29" s="102"/>
      <c r="E29" s="103"/>
      <c r="F29" s="102"/>
      <c r="G29" s="103"/>
      <c r="H29" s="19"/>
      <c r="I29" s="53">
        <f>I28/H28</f>
        <v>0</v>
      </c>
      <c r="J29" s="47">
        <f>J28/H28</f>
        <v>0.97777777777777775</v>
      </c>
      <c r="K29" s="53">
        <f>K28/J28</f>
        <v>0</v>
      </c>
      <c r="L29" s="47">
        <f>L28/J28</f>
        <v>0.95454545454545459</v>
      </c>
      <c r="M29" s="53">
        <f>M28/L28</f>
        <v>0</v>
      </c>
      <c r="N29" s="47">
        <f>N28/L28</f>
        <v>1.0476190476190477</v>
      </c>
      <c r="O29" s="53">
        <f>O28/N28</f>
        <v>0</v>
      </c>
      <c r="P29" s="47">
        <f>P28/N28</f>
        <v>0.98863636363636365</v>
      </c>
      <c r="Q29" s="63">
        <f>Q28/P28</f>
        <v>0</v>
      </c>
    </row>
    <row r="30" spans="1:17" ht="22.5" x14ac:dyDescent="0.15">
      <c r="A30" s="123"/>
      <c r="B30" s="106" t="s">
        <v>291</v>
      </c>
      <c r="C30" s="118" t="s">
        <v>38</v>
      </c>
      <c r="D30" s="44"/>
      <c r="E30" s="89"/>
      <c r="F30" s="44"/>
      <c r="G30" s="89"/>
      <c r="H30" s="26">
        <v>112</v>
      </c>
      <c r="I30" s="52">
        <v>0</v>
      </c>
      <c r="J30" s="26">
        <v>111</v>
      </c>
      <c r="K30" s="52">
        <v>0</v>
      </c>
      <c r="L30" s="26">
        <v>110</v>
      </c>
      <c r="M30" s="52">
        <v>0</v>
      </c>
      <c r="N30" s="26">
        <v>108</v>
      </c>
      <c r="O30" s="52">
        <v>0</v>
      </c>
      <c r="P30" s="36">
        <v>105</v>
      </c>
      <c r="Q30" s="65">
        <v>0</v>
      </c>
    </row>
    <row r="31" spans="1:17" ht="19.5" thickBot="1" x14ac:dyDescent="0.2">
      <c r="A31" s="123"/>
      <c r="B31" s="107"/>
      <c r="C31" s="119"/>
      <c r="D31" s="43"/>
      <c r="E31" s="90"/>
      <c r="F31" s="43"/>
      <c r="G31" s="90"/>
      <c r="H31" s="19"/>
      <c r="I31" s="53">
        <f>I30/H30</f>
        <v>0</v>
      </c>
      <c r="J31" s="47">
        <f>J30/H30</f>
        <v>0.9910714285714286</v>
      </c>
      <c r="K31" s="53">
        <f>K30/J30</f>
        <v>0</v>
      </c>
      <c r="L31" s="47">
        <f>L30/J30</f>
        <v>0.99099099099099097</v>
      </c>
      <c r="M31" s="53">
        <f>M30/L30</f>
        <v>0</v>
      </c>
      <c r="N31" s="47">
        <f>N30/L30</f>
        <v>0.98181818181818181</v>
      </c>
      <c r="O31" s="53">
        <f>O30/N30</f>
        <v>0</v>
      </c>
      <c r="P31" s="47">
        <f>P30/N30</f>
        <v>0.97222222222222221</v>
      </c>
      <c r="Q31" s="63">
        <f>Q30/P30</f>
        <v>0</v>
      </c>
    </row>
    <row r="32" spans="1:17" ht="22.5" x14ac:dyDescent="0.15">
      <c r="A32" s="123"/>
      <c r="B32" s="106" t="s">
        <v>263</v>
      </c>
      <c r="C32" s="118" t="s">
        <v>38</v>
      </c>
      <c r="D32" s="44"/>
      <c r="E32" s="89"/>
      <c r="F32" s="44"/>
      <c r="G32" s="89"/>
      <c r="H32" s="26">
        <v>65</v>
      </c>
      <c r="I32" s="52">
        <v>0</v>
      </c>
      <c r="J32" s="26">
        <v>64</v>
      </c>
      <c r="K32" s="52">
        <v>0</v>
      </c>
      <c r="L32" s="26">
        <v>68</v>
      </c>
      <c r="M32" s="52">
        <v>0</v>
      </c>
      <c r="N32" s="26">
        <v>68</v>
      </c>
      <c r="O32" s="52">
        <v>0</v>
      </c>
      <c r="P32" s="36">
        <v>69</v>
      </c>
      <c r="Q32" s="65">
        <v>0</v>
      </c>
    </row>
    <row r="33" spans="1:17" ht="19.5" thickBot="1" x14ac:dyDescent="0.2">
      <c r="A33" s="123"/>
      <c r="B33" s="107"/>
      <c r="C33" s="119"/>
      <c r="D33" s="43"/>
      <c r="E33" s="90"/>
      <c r="F33" s="43"/>
      <c r="G33" s="90"/>
      <c r="H33" s="19"/>
      <c r="I33" s="53">
        <f>I32/H32</f>
        <v>0</v>
      </c>
      <c r="J33" s="47">
        <f>J32/H32</f>
        <v>0.98461538461538467</v>
      </c>
      <c r="K33" s="53">
        <f>K32/J32</f>
        <v>0</v>
      </c>
      <c r="L33" s="47">
        <f>L32/J32</f>
        <v>1.0625</v>
      </c>
      <c r="M33" s="53">
        <f>M32/L32</f>
        <v>0</v>
      </c>
      <c r="N33" s="47">
        <f>N32/L32</f>
        <v>1</v>
      </c>
      <c r="O33" s="53">
        <f>O32/N32</f>
        <v>0</v>
      </c>
      <c r="P33" s="47">
        <f>P32/N32</f>
        <v>1.0147058823529411</v>
      </c>
      <c r="Q33" s="63">
        <f>Q32/P32</f>
        <v>0</v>
      </c>
    </row>
    <row r="34" spans="1:17" ht="22.5" x14ac:dyDescent="0.15">
      <c r="A34" s="123"/>
      <c r="B34" s="158" t="s">
        <v>292</v>
      </c>
      <c r="C34" s="135" t="s">
        <v>38</v>
      </c>
      <c r="D34" s="42"/>
      <c r="E34" s="91"/>
      <c r="F34" s="42"/>
      <c r="G34" s="91"/>
      <c r="H34" s="26">
        <v>144</v>
      </c>
      <c r="I34" s="52">
        <v>0</v>
      </c>
      <c r="J34" s="26">
        <v>123</v>
      </c>
      <c r="K34" s="52">
        <v>0</v>
      </c>
      <c r="L34" s="26">
        <v>117</v>
      </c>
      <c r="M34" s="52">
        <v>0</v>
      </c>
      <c r="N34" s="26">
        <v>107</v>
      </c>
      <c r="O34" s="52">
        <v>0</v>
      </c>
      <c r="P34" s="36">
        <v>116</v>
      </c>
      <c r="Q34" s="65">
        <v>0</v>
      </c>
    </row>
    <row r="35" spans="1:17" ht="19.5" thickBot="1" x14ac:dyDescent="0.2">
      <c r="A35" s="124"/>
      <c r="B35" s="107"/>
      <c r="C35" s="119"/>
      <c r="D35" s="43"/>
      <c r="E35" s="90"/>
      <c r="F35" s="43"/>
      <c r="G35" s="90"/>
      <c r="H35" s="19"/>
      <c r="I35" s="53">
        <f>I34/H34</f>
        <v>0</v>
      </c>
      <c r="J35" s="47">
        <f>J34/H34</f>
        <v>0.85416666666666663</v>
      </c>
      <c r="K35" s="53">
        <f>K34/J34</f>
        <v>0</v>
      </c>
      <c r="L35" s="47">
        <f>L34/J34</f>
        <v>0.95121951219512191</v>
      </c>
      <c r="M35" s="53">
        <f>M34/L34</f>
        <v>0</v>
      </c>
      <c r="N35" s="47">
        <f>N34/L34</f>
        <v>0.9145299145299145</v>
      </c>
      <c r="O35" s="53">
        <f>O34/N34</f>
        <v>0</v>
      </c>
      <c r="P35" s="47">
        <f>P34/N34</f>
        <v>1.0841121495327102</v>
      </c>
      <c r="Q35" s="63">
        <f>Q34/P34</f>
        <v>0</v>
      </c>
    </row>
    <row r="36" spans="1:17" ht="22.5" x14ac:dyDescent="0.15">
      <c r="A36" s="129" t="s">
        <v>293</v>
      </c>
      <c r="B36" s="104" t="s">
        <v>270</v>
      </c>
      <c r="C36" s="118" t="s">
        <v>38</v>
      </c>
      <c r="D36" s="26">
        <v>15</v>
      </c>
      <c r="E36" s="52">
        <v>0</v>
      </c>
      <c r="F36" s="26">
        <v>15</v>
      </c>
      <c r="G36" s="52">
        <v>2</v>
      </c>
      <c r="H36" s="26">
        <v>13</v>
      </c>
      <c r="I36" s="52">
        <v>2</v>
      </c>
      <c r="J36" s="26">
        <v>19</v>
      </c>
      <c r="K36" s="52">
        <v>2</v>
      </c>
      <c r="L36" s="26">
        <v>21</v>
      </c>
      <c r="M36" s="52">
        <v>0</v>
      </c>
      <c r="N36" s="26">
        <v>20</v>
      </c>
      <c r="O36" s="52">
        <v>2</v>
      </c>
      <c r="P36" s="36">
        <v>23</v>
      </c>
      <c r="Q36" s="65">
        <v>4</v>
      </c>
    </row>
    <row r="37" spans="1:17" ht="19.5" thickBot="1" x14ac:dyDescent="0.2">
      <c r="A37" s="123"/>
      <c r="B37" s="105"/>
      <c r="C37" s="135"/>
      <c r="D37" s="19"/>
      <c r="E37" s="53">
        <f>E36/D36</f>
        <v>0</v>
      </c>
      <c r="F37" s="47">
        <f>F36/D36</f>
        <v>1</v>
      </c>
      <c r="G37" s="53">
        <f>G36/F36</f>
        <v>0.13333333333333333</v>
      </c>
      <c r="H37" s="47">
        <f>H36/F36</f>
        <v>0.8666666666666667</v>
      </c>
      <c r="I37" s="53">
        <f>I36/H36</f>
        <v>0.15384615384615385</v>
      </c>
      <c r="J37" s="47">
        <f>J36/H36</f>
        <v>1.4615384615384615</v>
      </c>
      <c r="K37" s="53">
        <f>K36/J36</f>
        <v>0.10526315789473684</v>
      </c>
      <c r="L37" s="47">
        <f>L36/J36</f>
        <v>1.1052631578947369</v>
      </c>
      <c r="M37" s="53">
        <f>M36/L36</f>
        <v>0</v>
      </c>
      <c r="N37" s="47">
        <f>N36/L36</f>
        <v>0.95238095238095233</v>
      </c>
      <c r="O37" s="53">
        <f>O36/N36</f>
        <v>0.1</v>
      </c>
      <c r="P37" s="47">
        <f>P36/N36</f>
        <v>1.1499999999999999</v>
      </c>
      <c r="Q37" s="63">
        <f>Q36/P36</f>
        <v>0.17391304347826086</v>
      </c>
    </row>
    <row r="38" spans="1:17" ht="22.5" x14ac:dyDescent="0.15">
      <c r="A38" s="123"/>
      <c r="B38" s="117" t="s">
        <v>264</v>
      </c>
      <c r="C38" s="118" t="s">
        <v>38</v>
      </c>
      <c r="D38" s="26">
        <v>19</v>
      </c>
      <c r="E38" s="52">
        <v>0</v>
      </c>
      <c r="F38" s="26">
        <v>33</v>
      </c>
      <c r="G38" s="52">
        <v>0</v>
      </c>
      <c r="H38" s="26">
        <v>32</v>
      </c>
      <c r="I38" s="52">
        <v>1</v>
      </c>
      <c r="J38" s="26">
        <v>28</v>
      </c>
      <c r="K38" s="52">
        <v>1</v>
      </c>
      <c r="L38" s="26">
        <v>18</v>
      </c>
      <c r="M38" s="52">
        <v>1</v>
      </c>
      <c r="N38" s="26">
        <v>9</v>
      </c>
      <c r="O38" s="52">
        <v>0</v>
      </c>
      <c r="P38" s="28">
        <v>10</v>
      </c>
      <c r="Q38" s="62">
        <v>0</v>
      </c>
    </row>
    <row r="39" spans="1:17" ht="19.5" thickBot="1" x14ac:dyDescent="0.2">
      <c r="A39" s="124"/>
      <c r="B39" s="105"/>
      <c r="C39" s="119"/>
      <c r="D39" s="19"/>
      <c r="E39" s="53">
        <f>E38/D38</f>
        <v>0</v>
      </c>
      <c r="F39" s="47">
        <f>F38/D38</f>
        <v>1.736842105263158</v>
      </c>
      <c r="G39" s="53">
        <f>G38/F38</f>
        <v>0</v>
      </c>
      <c r="H39" s="47">
        <f>H38/F38</f>
        <v>0.96969696969696972</v>
      </c>
      <c r="I39" s="53">
        <f>I38/H38</f>
        <v>3.125E-2</v>
      </c>
      <c r="J39" s="47">
        <f>J38/H38</f>
        <v>0.875</v>
      </c>
      <c r="K39" s="53">
        <f>K38/J38</f>
        <v>3.5714285714285712E-2</v>
      </c>
      <c r="L39" s="47">
        <f>L38/J38</f>
        <v>0.6428571428571429</v>
      </c>
      <c r="M39" s="53">
        <f>M38/L38</f>
        <v>5.5555555555555552E-2</v>
      </c>
      <c r="N39" s="47">
        <f>N38/L38</f>
        <v>0.5</v>
      </c>
      <c r="O39" s="53">
        <f>O38/N38</f>
        <v>0</v>
      </c>
      <c r="P39" s="47">
        <f>P38/N38</f>
        <v>1.1111111111111112</v>
      </c>
      <c r="Q39" s="63">
        <f>Q38/P38</f>
        <v>0</v>
      </c>
    </row>
    <row r="42" spans="1:17" ht="19.5" customHeight="1" x14ac:dyDescent="0.15"/>
    <row r="46" spans="1:17" ht="18.75" customHeight="1" x14ac:dyDescent="0.15"/>
    <row r="48" spans="1:17" ht="18.75" customHeight="1" x14ac:dyDescent="0.15"/>
    <row r="50" ht="18.75" customHeight="1" x14ac:dyDescent="0.15"/>
    <row r="54" ht="18.75" customHeight="1" x14ac:dyDescent="0.15"/>
    <row r="56" ht="18.75" customHeight="1" x14ac:dyDescent="0.15"/>
    <row r="58" ht="18.75" customHeight="1" x14ac:dyDescent="0.15"/>
    <row r="60" ht="18.75" customHeight="1" x14ac:dyDescent="0.15"/>
    <row r="62" ht="18.75" customHeight="1" x14ac:dyDescent="0.15"/>
  </sheetData>
  <mergeCells count="69">
    <mergeCell ref="A36:A39"/>
    <mergeCell ref="B36:B37"/>
    <mergeCell ref="C36:C37"/>
    <mergeCell ref="B38:B39"/>
    <mergeCell ref="C38:C39"/>
    <mergeCell ref="B30:B31"/>
    <mergeCell ref="C30:C31"/>
    <mergeCell ref="B32:B33"/>
    <mergeCell ref="C32:C33"/>
    <mergeCell ref="B34:B35"/>
    <mergeCell ref="C34:C35"/>
    <mergeCell ref="C8:C9"/>
    <mergeCell ref="N3:O3"/>
    <mergeCell ref="B6:B7"/>
    <mergeCell ref="C6:C7"/>
    <mergeCell ref="D3:E3"/>
    <mergeCell ref="F3:G3"/>
    <mergeCell ref="H3:I3"/>
    <mergeCell ref="J3:K3"/>
    <mergeCell ref="L3:M3"/>
    <mergeCell ref="P3:Q3"/>
    <mergeCell ref="A6:A9"/>
    <mergeCell ref="A10:A15"/>
    <mergeCell ref="B10:B11"/>
    <mergeCell ref="C10:C11"/>
    <mergeCell ref="D11:E11"/>
    <mergeCell ref="F11:G11"/>
    <mergeCell ref="B12:B13"/>
    <mergeCell ref="C12:C13"/>
    <mergeCell ref="D13:E13"/>
    <mergeCell ref="F13:G13"/>
    <mergeCell ref="B14:B15"/>
    <mergeCell ref="C14:C15"/>
    <mergeCell ref="D15:E15"/>
    <mergeCell ref="F15:G15"/>
    <mergeCell ref="B8:B9"/>
    <mergeCell ref="A16:A19"/>
    <mergeCell ref="B16:B17"/>
    <mergeCell ref="C16:C17"/>
    <mergeCell ref="D17:E17"/>
    <mergeCell ref="F17:G17"/>
    <mergeCell ref="B18:B19"/>
    <mergeCell ref="C18:C19"/>
    <mergeCell ref="D19:E19"/>
    <mergeCell ref="F19:G19"/>
    <mergeCell ref="B22:B23"/>
    <mergeCell ref="C22:C23"/>
    <mergeCell ref="D23:E23"/>
    <mergeCell ref="F23:G23"/>
    <mergeCell ref="B20:B21"/>
    <mergeCell ref="C20:C21"/>
    <mergeCell ref="D21:E21"/>
    <mergeCell ref="F21:G21"/>
    <mergeCell ref="H23:I23"/>
    <mergeCell ref="H27:I27"/>
    <mergeCell ref="A28:A35"/>
    <mergeCell ref="B28:B29"/>
    <mergeCell ref="C28:C29"/>
    <mergeCell ref="D29:E29"/>
    <mergeCell ref="F29:G29"/>
    <mergeCell ref="B24:B25"/>
    <mergeCell ref="C24:C25"/>
    <mergeCell ref="D25:E25"/>
    <mergeCell ref="F25:G25"/>
    <mergeCell ref="B26:B27"/>
    <mergeCell ref="C26:C27"/>
    <mergeCell ref="D27:E27"/>
    <mergeCell ref="F27:G27"/>
    <mergeCell ref="A20:A27"/>
  </mergeCells>
  <phoneticPr fontId="2"/>
  <conditionalFormatting sqref="P39 N39 L39 J39 H39 F39 F37 H37 J37 L37 N37 P37 P35 N35 L35 J35 J33 L33 N33 P33 P31 N31 L31 J31 J29 L29 N29 P29 P27 N27 L27 J25 L25 N25 P25 P23 N23 L23 J21 L21 N21 P21 P19 N19 L19 J19 J17 L17 N17 P17 P15 N15 L15 J15 J13 L13 N13 P13 P11 N11 L11 J11 F9 H9 J9 L9 N9 P9 P7 N7 L7 J7 H7 F7">
    <cfRule type="cellIs" dxfId="5" priority="1" operator="lessThan">
      <formula>1</formula>
    </cfRule>
    <cfRule type="cellIs" dxfId="4" priority="2" operator="greaterThanOrEqual">
      <formula>1</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学校単位での比較</vt:lpstr>
      <vt:lpstr>滋慶</vt:lpstr>
      <vt:lpstr>放送・演劇スタッフ</vt:lpstr>
      <vt:lpstr>声優演劇・ミュージックアーティスト・ダンス</vt:lpstr>
      <vt:lpstr>マンガ・アニメ</vt:lpstr>
      <vt:lpstr>ゲーム</vt:lpstr>
      <vt:lpstr>CG映像</vt:lpstr>
      <vt:lpstr>デザイン</vt:lpstr>
      <vt:lpstr>コンイベ・音響芸術</vt:lpstr>
      <vt:lpstr>IT</vt:lpstr>
      <vt:lpstr>ホテル・観光・情報ビジネス</vt:lpstr>
      <vt:lpstr>建築</vt:lpstr>
      <vt:lpstr>自動車</vt:lpstr>
      <vt:lpstr>テクその他</vt:lpstr>
      <vt:lpstr>スポーツ</vt:lpstr>
      <vt:lpstr>鍼灸・柔整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千葉　一貴</dc:creator>
  <cp:lastModifiedBy>千葉　一貴</cp:lastModifiedBy>
  <dcterms:created xsi:type="dcterms:W3CDTF">2024-06-27T04:22:52Z</dcterms:created>
  <dcterms:modified xsi:type="dcterms:W3CDTF">2025-08-26T01:24:14Z</dcterms:modified>
</cp:coreProperties>
</file>